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iCloudDrive\DatenPC\WebApp\myPWA1\can_xl_config\"/>
    </mc:Choice>
  </mc:AlternateContent>
  <xr:revisionPtr revIDLastSave="0" documentId="13_ncr:1_{38B63060-2B64-43FE-9C81-CB26B16AB574}" xr6:coauthVersionLast="47" xr6:coauthVersionMax="47" xr10:uidLastSave="{00000000-0000-0000-0000-000000000000}"/>
  <bookViews>
    <workbookView xWindow="38760" yWindow="2415" windowWidth="18345" windowHeight="24450" tabRatio="513" xr2:uid="{00000000-000D-0000-FFFF-FFFF00000000}"/>
  </bookViews>
  <sheets>
    <sheet name="can_bit_timing_config" sheetId="1" r:id="rId1"/>
    <sheet name="Tabelle1" sheetId="5" r:id="rId2"/>
    <sheet name="definitions" sheetId="2" r:id="rId3"/>
    <sheet name="changes_history" sheetId="3" r:id="rId4"/>
    <sheet name="SP for SIC XL" sheetId="4" r:id="rId5"/>
  </sheets>
  <definedNames>
    <definedName name="_pm1">can_bit_timing_config!$V$23:$V$34</definedName>
    <definedName name="_pm2">can_bit_timing_config!$W$23:$W$34</definedName>
    <definedName name="_sm1">can_bit_timing_config!$X$23:$X$34</definedName>
    <definedName name="_sm2">can_bit_timing_config!$Y$23:$Y$34</definedName>
    <definedName name="A1_FD2">definitions!$D$5</definedName>
    <definedName name="A1_FD2_loop">definitions!$F$5</definedName>
    <definedName name="A1_FD5">definitions!$D$6</definedName>
    <definedName name="A1_FD5_loop">definitions!$F$6</definedName>
    <definedName name="A1_SIC">definitions!$D$7</definedName>
    <definedName name="A1_SIC_loop">definitions!$F$7</definedName>
    <definedName name="A1_total">can_bit_timing_config!$D$49</definedName>
    <definedName name="A1_total_loop">can_bit_timing_config!$H$49</definedName>
    <definedName name="A1_XL">definitions!$D$8</definedName>
    <definedName name="A1_XL_loop">definitions!$F$8</definedName>
    <definedName name="A2_FD2">definitions!$E$5</definedName>
    <definedName name="A2_FD2_loop">definitions!$G$5</definedName>
    <definedName name="A2_FD5">definitions!$E$6</definedName>
    <definedName name="A2_FD5_loop">definitions!$G$6</definedName>
    <definedName name="A2_SIC">definitions!$E$7</definedName>
    <definedName name="A2_SIC_loop">definitions!$G$7</definedName>
    <definedName name="A2_total">can_bit_timing_config!$E$49</definedName>
    <definedName name="A2_total_loop">can_bit_timing_config!$I$49</definedName>
    <definedName name="A2_XL">definitions!$E$8</definedName>
    <definedName name="A2_XL_loop">definitions!$G$8</definedName>
    <definedName name="bit_reduction_by_jitter">#REF!</definedName>
    <definedName name="bit_reduction_by_transceiver">#REF!</definedName>
    <definedName name="bitrate_a" comment="Bit Rate in arbitation phase">can_bit_timing_config!$C$22</definedName>
    <definedName name="bitrate_d" comment="Bit Rate in data phase" localSheetId="0">can_bit_timing_config!$C$23:$C$34</definedName>
    <definedName name="bitrate_d" localSheetId="1">Tabelle1!$C$23:$C$33</definedName>
    <definedName name="BRP_a" comment="Baud Rate Prescaler for arbitration phase">can_bit_timing_config!$F$22</definedName>
    <definedName name="BRP_d" comment="Baud Rate Prescaler for data phase" localSheetId="0">can_bit_timing_config!$F$23:$F$34</definedName>
    <definedName name="BRP_d" localSheetId="1">Tabelle1!$F$23:$F$33</definedName>
    <definedName name="bt_a">can_bit_timing_config!$H$22</definedName>
    <definedName name="bt_d" comment="Time Quanta per CAN Bit Time in data phase" localSheetId="0">can_bit_timing_config!$H$23:$H$34</definedName>
    <definedName name="bt_d" localSheetId="1">Tabelle1!$H$23:$H$33</definedName>
    <definedName name="can_clk_freq" comment="Frequency of CAN_CLK (feeds the protocol controller of CAN module)" localSheetId="0">can_bit_timing_config!$C$10</definedName>
    <definedName name="can_clk_freq" localSheetId="1">Tabelle1!$C$10</definedName>
    <definedName name="can_clk_period" comment="period of CAN clock" localSheetId="0">can_bit_timing_config!$C$13</definedName>
    <definedName name="can_clk_period" localSheetId="1">Tabelle1!$C$13</definedName>
    <definedName name="df">#REF!</definedName>
    <definedName name="df_allowed" comment="df allowed by the CAN protocol (calculated from bit timing settings)">can_bit_timing_config!$U$23:$U$34</definedName>
    <definedName name="df_rule1">can_bit_timing_config!$AB$22</definedName>
    <definedName name="df_rule2">can_bit_timing_config!$AC$22</definedName>
    <definedName name="df_rule3">can_bit_timing_config!$AD$23:$AD$34</definedName>
    <definedName name="df_rule4">can_bit_timing_config!#REF!</definedName>
    <definedName name="df_rule5">can_bit_timing_config!#REF!</definedName>
    <definedName name="df_used" comment="df used in the CAN bus">can_bit_timing_config!$C$11</definedName>
    <definedName name="jitter">can_bit_timing_config!$C$12</definedName>
    <definedName name="liste_transceiver_Mbps">definitions!$B$5:$B$6</definedName>
    <definedName name="liste_transceiver_types">definitions!$B$5:$B$8</definedName>
    <definedName name="max_ps1prop_a">can_bit_timing_config!$H$62</definedName>
    <definedName name="max_ps1prop_d">can_bit_timing_config!$H$67</definedName>
    <definedName name="max_ps2_a">can_bit_timing_config!$H$63</definedName>
    <definedName name="max_ps2_d">can_bit_timing_config!$H$68</definedName>
    <definedName name="max_sjw_a">can_bit_timing_config!$H$64</definedName>
    <definedName name="max_sjw_d">can_bit_timing_config!$H$69</definedName>
    <definedName name="max_ssp_offset_d">can_bit_timing_config!$H$70</definedName>
    <definedName name="min_bt_d">can_bit_timing_config!$F$71</definedName>
    <definedName name="min_ps1prop_a">can_bit_timing_config!$F$62</definedName>
    <definedName name="min_ps1prop_d">can_bit_timing_config!$F$67</definedName>
    <definedName name="min_ps2_a">can_bit_timing_config!$F$63</definedName>
    <definedName name="min_ps2_d">can_bit_timing_config!$F$68</definedName>
    <definedName name="min_sjw_a">can_bit_timing_config!$F$64</definedName>
    <definedName name="min_sjw_d">can_bit_timing_config!$F$69</definedName>
    <definedName name="min_sm_good">definitions!$C$18</definedName>
    <definedName name="min_sm_ok">definitions!$C$17</definedName>
    <definedName name="min_ssp_offset_d">can_bit_timing_config!$F$70</definedName>
    <definedName name="my_df">#REF!</definedName>
    <definedName name="mybtd1">#REF!</definedName>
    <definedName name="mybtd2">#REF!</definedName>
    <definedName name="mysjw1">#REF!</definedName>
    <definedName name="mysjw2">#REF!</definedName>
    <definedName name="prop_seg_a">can_bit_timing_config!$I$22</definedName>
    <definedName name="prop_seg_d" comment="Propagation Segment of data phase bit timing" localSheetId="0">can_bit_timing_config!$I$23:$I$34</definedName>
    <definedName name="prop_seg_d" localSheetId="1">Tabelle1!$I$23:$I$33</definedName>
    <definedName name="ps1_a">can_bit_timing_config!$J$22</definedName>
    <definedName name="ps1_d" comment="Phase Segment 1 of data phase bit timing" localSheetId="0">can_bit_timing_config!$J$23:$J$34</definedName>
    <definedName name="ps1_d" localSheetId="1">Tabelle1!$J$23:$J$33</definedName>
    <definedName name="ps2_a">can_bit_timing_config!$K$22</definedName>
    <definedName name="ps2_d">can_bit_timing_config!$K$23:$K$34</definedName>
    <definedName name="pwml">can_bit_timing_config!$Q$23:$Q$34</definedName>
    <definedName name="pwmo">can_bit_timing_config!$O$23:$O$34</definedName>
    <definedName name="pwms">can_bit_timing_config!$P$23:$P$34</definedName>
    <definedName name="S_Stuff">can_bit_timing_config!$C$14</definedName>
    <definedName name="secondary_sp_d">can_bit_timing_config!$E$23:$E$34</definedName>
    <definedName name="sjw_a">can_bit_timing_config!$L$22</definedName>
    <definedName name="sjw_d" comment="Synchronization Jump Width of data phase bit timing" localSheetId="0">can_bit_timing_config!$L$23:$L$34</definedName>
    <definedName name="sjw_d" localSheetId="1">Tabelle1!$L$23:$L$33</definedName>
    <definedName name="sm1_loop">can_bit_timing_config!#REF!</definedName>
    <definedName name="sm1_loop_new">can_bit_timing_config!#REF!</definedName>
    <definedName name="sm2_loop">can_bit_timing_config!#REF!</definedName>
    <definedName name="sm2_loop_new">can_bit_timing_config!#REF!</definedName>
    <definedName name="ssp_offset_d" comment="Transceiver Delay Compensation: SSP Offset in data phase bit timing" localSheetId="0">can_bit_timing_config!$N$23:$N$34</definedName>
    <definedName name="ssp_offset_d" localSheetId="1">Tabelle1!$N$23:$N$33</definedName>
    <definedName name="TC_type">can_bit_timing_config!$C$41</definedName>
    <definedName name="TC_type2">#REF!</definedName>
    <definedName name="TD_max">can_bit_timing_config!$R$23:$R$34</definedName>
    <definedName name="TD_warning_level">definitions!$C$14</definedName>
    <definedName name="tdc_d" comment="Transceiver Delay Compensation of data phase bit timing" localSheetId="0">can_bit_timing_config!$M$23:$M$34</definedName>
    <definedName name="tdc_d" localSheetId="1">Tabelle1!$M$23:$M$33</definedName>
  </definedNames>
  <calcPr calcId="191029"/>
  <customWorkbookViews>
    <customWorkbookView name="Yao Yao - Persönliche Ansicht" guid="{694DA1A8-4125-CE46-8ADB-20AC8F55CAD4}" mergeInterval="0" personalView="1" xWindow="236" yWindow="61" windowWidth="1607" windowHeight="939" tabRatio="513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5" l="1"/>
  <c r="C68" i="5"/>
  <c r="AD17" i="5"/>
  <c r="AA17" i="5"/>
  <c r="Z17" i="5"/>
  <c r="W17" i="5"/>
  <c r="V17" i="5"/>
  <c r="R17" i="5"/>
  <c r="Q17" i="5"/>
  <c r="P17" i="5"/>
  <c r="N17" i="5"/>
  <c r="H17" i="5"/>
  <c r="G17" i="5"/>
  <c r="E17" i="5"/>
  <c r="D17" i="5"/>
  <c r="C17" i="5"/>
  <c r="T17" i="5" s="1"/>
  <c r="AC16" i="5"/>
  <c r="AB16" i="5"/>
  <c r="H16" i="5"/>
  <c r="C16" i="5" s="1"/>
  <c r="G16" i="5"/>
  <c r="C7" i="5"/>
  <c r="E11" i="4"/>
  <c r="F11" i="4" s="1"/>
  <c r="B11" i="4"/>
  <c r="C11" i="4" s="1"/>
  <c r="D12" i="4"/>
  <c r="E12" i="4" s="1"/>
  <c r="F12" i="4" s="1"/>
  <c r="AA34" i="1"/>
  <c r="AA33" i="1"/>
  <c r="AA32" i="1"/>
  <c r="AA31" i="1"/>
  <c r="AA30" i="1"/>
  <c r="AA29" i="1"/>
  <c r="AA28" i="1"/>
  <c r="AA27" i="1"/>
  <c r="AA26" i="1"/>
  <c r="AA25" i="1"/>
  <c r="AA24" i="1"/>
  <c r="N23" i="1"/>
  <c r="E46" i="1"/>
  <c r="D46" i="1"/>
  <c r="E41" i="1"/>
  <c r="E49" i="1" s="1"/>
  <c r="Y17" i="5" s="1"/>
  <c r="D41" i="1"/>
  <c r="D49" i="1" s="1"/>
  <c r="X17" i="5" s="1"/>
  <c r="N33" i="1"/>
  <c r="H33" i="1"/>
  <c r="C33" i="1" s="1"/>
  <c r="AD33" i="1"/>
  <c r="N32" i="1"/>
  <c r="H32" i="1"/>
  <c r="D32" i="1" s="1"/>
  <c r="N31" i="1"/>
  <c r="H31" i="1"/>
  <c r="D31" i="1" s="1"/>
  <c r="N30" i="1"/>
  <c r="H30" i="1"/>
  <c r="D30" i="1" s="1"/>
  <c r="N29" i="1"/>
  <c r="H29" i="1"/>
  <c r="AD29" i="1" s="1"/>
  <c r="N28" i="1"/>
  <c r="H28" i="1"/>
  <c r="C28" i="1" s="1"/>
  <c r="H23" i="1"/>
  <c r="D23" i="1" s="1"/>
  <c r="C13" i="1"/>
  <c r="G30" i="1" s="1"/>
  <c r="H22" i="1"/>
  <c r="O17" i="5" s="1"/>
  <c r="H24" i="1"/>
  <c r="C24" i="1" s="1"/>
  <c r="N24" i="1"/>
  <c r="H25" i="1"/>
  <c r="AD25" i="1" s="1"/>
  <c r="N25" i="1"/>
  <c r="H26" i="1"/>
  <c r="C26" i="1" s="1"/>
  <c r="N26" i="1"/>
  <c r="H27" i="1"/>
  <c r="D27" i="1" s="1"/>
  <c r="N27" i="1"/>
  <c r="H34" i="1"/>
  <c r="C34" i="1" s="1"/>
  <c r="N34" i="1"/>
  <c r="F65" i="1"/>
  <c r="H65" i="1"/>
  <c r="H71" i="1"/>
  <c r="AA23" i="1"/>
  <c r="D33" i="1" l="1"/>
  <c r="D16" i="5"/>
  <c r="T16" i="5" s="1"/>
  <c r="R26" i="1"/>
  <c r="A28" i="1"/>
  <c r="P28" i="1"/>
  <c r="Q28" i="1" s="1"/>
  <c r="P34" i="1"/>
  <c r="O34" i="1" s="1"/>
  <c r="Q34" i="1"/>
  <c r="C22" i="1"/>
  <c r="A33" i="1"/>
  <c r="P33" i="1"/>
  <c r="Q33" i="1" s="1"/>
  <c r="O33" i="1" s="1"/>
  <c r="A26" i="1"/>
  <c r="P26" i="1"/>
  <c r="Q26" i="1" s="1"/>
  <c r="C25" i="1"/>
  <c r="E25" i="1" s="1"/>
  <c r="C27" i="1"/>
  <c r="E27" i="1" s="1"/>
  <c r="C30" i="1"/>
  <c r="E30" i="1" s="1"/>
  <c r="T30" i="1" s="1"/>
  <c r="AD28" i="1"/>
  <c r="AD30" i="1"/>
  <c r="D26" i="1"/>
  <c r="R28" i="1"/>
  <c r="AD27" i="1"/>
  <c r="AD26" i="1"/>
  <c r="C31" i="1"/>
  <c r="E24" i="1"/>
  <c r="C29" i="1"/>
  <c r="R29" i="1"/>
  <c r="R25" i="1"/>
  <c r="AD34" i="1"/>
  <c r="D25" i="1"/>
  <c r="E28" i="1"/>
  <c r="D28" i="1"/>
  <c r="A24" i="1"/>
  <c r="R24" i="1"/>
  <c r="G29" i="1"/>
  <c r="E26" i="1"/>
  <c r="D29" i="1"/>
  <c r="G31" i="1"/>
  <c r="G23" i="1"/>
  <c r="G26" i="1"/>
  <c r="G33" i="1"/>
  <c r="R33" i="1"/>
  <c r="R27" i="1"/>
  <c r="R31" i="1"/>
  <c r="G22" i="1"/>
  <c r="G25" i="1"/>
  <c r="R32" i="1"/>
  <c r="R23" i="1"/>
  <c r="G24" i="1"/>
  <c r="G28" i="1"/>
  <c r="AD31" i="1"/>
  <c r="R34" i="1"/>
  <c r="AD24" i="1"/>
  <c r="R30" i="1"/>
  <c r="G32" i="1"/>
  <c r="G27" i="1"/>
  <c r="G34" i="1"/>
  <c r="D24" i="1"/>
  <c r="D13" i="4"/>
  <c r="B12" i="4"/>
  <c r="C12" i="4" s="1"/>
  <c r="AD23" i="1"/>
  <c r="C23" i="1"/>
  <c r="D22" i="1"/>
  <c r="E34" i="1"/>
  <c r="A34" i="1"/>
  <c r="D34" i="1"/>
  <c r="E33" i="1"/>
  <c r="C32" i="1"/>
  <c r="AD32" i="1"/>
  <c r="AC22" i="1"/>
  <c r="U17" i="5" s="1"/>
  <c r="AB22" i="1"/>
  <c r="T28" i="1" l="1"/>
  <c r="A22" i="1"/>
  <c r="S16" i="5"/>
  <c r="S22" i="1"/>
  <c r="O28" i="1"/>
  <c r="A31" i="1"/>
  <c r="P31" i="1"/>
  <c r="Q31" i="1" s="1"/>
  <c r="O31" i="1" s="1"/>
  <c r="A30" i="1"/>
  <c r="P30" i="1"/>
  <c r="Q30" i="1" s="1"/>
  <c r="O30" i="1" s="1"/>
  <c r="A32" i="1"/>
  <c r="P32" i="1"/>
  <c r="Q32" i="1" s="1"/>
  <c r="A27" i="1"/>
  <c r="P27" i="1"/>
  <c r="Q27" i="1" s="1"/>
  <c r="O27" i="1" s="1"/>
  <c r="A25" i="1"/>
  <c r="P25" i="1"/>
  <c r="Q25" i="1" s="1"/>
  <c r="O25" i="1" s="1"/>
  <c r="O26" i="1"/>
  <c r="A29" i="1"/>
  <c r="P29" i="1"/>
  <c r="Q29" i="1" s="1"/>
  <c r="E29" i="1"/>
  <c r="T29" i="1" s="1"/>
  <c r="E31" i="1"/>
  <c r="T27" i="1"/>
  <c r="T22" i="1"/>
  <c r="T31" i="1"/>
  <c r="T25" i="1"/>
  <c r="T34" i="1"/>
  <c r="T24" i="1"/>
  <c r="T33" i="1"/>
  <c r="T26" i="1"/>
  <c r="B13" i="4"/>
  <c r="C13" i="4" s="1"/>
  <c r="D14" i="4"/>
  <c r="E13" i="4"/>
  <c r="F13" i="4" s="1"/>
  <c r="E23" i="1"/>
  <c r="T23" i="1" s="1"/>
  <c r="A23" i="1"/>
  <c r="E32" i="1"/>
  <c r="T32" i="1" s="1"/>
  <c r="U28" i="1"/>
  <c r="W28" i="1" s="1"/>
  <c r="U29" i="1"/>
  <c r="W29" i="1" s="1"/>
  <c r="U31" i="1"/>
  <c r="W31" i="1" s="1"/>
  <c r="U30" i="1"/>
  <c r="W30" i="1" s="1"/>
  <c r="U26" i="1"/>
  <c r="W26" i="1" s="1"/>
  <c r="U27" i="1"/>
  <c r="W27" i="1" s="1"/>
  <c r="U24" i="1"/>
  <c r="W24" i="1" s="1"/>
  <c r="U23" i="1"/>
  <c r="U34" i="1"/>
  <c r="W34" i="1" s="1"/>
  <c r="U32" i="1"/>
  <c r="W32" i="1" s="1"/>
  <c r="U25" i="1"/>
  <c r="W25" i="1" s="1"/>
  <c r="U33" i="1"/>
  <c r="W33" i="1" s="1"/>
  <c r="O29" i="1" l="1"/>
  <c r="O32" i="1"/>
  <c r="B14" i="4"/>
  <c r="C14" i="4" s="1"/>
  <c r="E14" i="4"/>
  <c r="F14" i="4" s="1"/>
  <c r="D15" i="4"/>
  <c r="V34" i="1"/>
  <c r="X34" i="1" s="1"/>
  <c r="Y34" i="1"/>
  <c r="V23" i="1"/>
  <c r="X23" i="1" s="1"/>
  <c r="W23" i="1"/>
  <c r="Y23" i="1" s="1"/>
  <c r="Y27" i="1"/>
  <c r="V27" i="1"/>
  <c r="X27" i="1" s="1"/>
  <c r="Y33" i="1"/>
  <c r="V33" i="1"/>
  <c r="X33" i="1" s="1"/>
  <c r="V25" i="1"/>
  <c r="X25" i="1" s="1"/>
  <c r="Y25" i="1"/>
  <c r="Y31" i="1"/>
  <c r="V31" i="1"/>
  <c r="X31" i="1" s="1"/>
  <c r="V28" i="1"/>
  <c r="X28" i="1" s="1"/>
  <c r="Y28" i="1"/>
  <c r="V24" i="1"/>
  <c r="X24" i="1" s="1"/>
  <c r="Y24" i="1"/>
  <c r="Y26" i="1"/>
  <c r="V26" i="1"/>
  <c r="X26" i="1" s="1"/>
  <c r="Y30" i="1"/>
  <c r="V30" i="1"/>
  <c r="X30" i="1" s="1"/>
  <c r="V32" i="1"/>
  <c r="X32" i="1" s="1"/>
  <c r="Y32" i="1"/>
  <c r="Y29" i="1"/>
  <c r="V29" i="1"/>
  <c r="X29" i="1" s="1"/>
  <c r="E15" i="4" l="1"/>
  <c r="F15" i="4" s="1"/>
  <c r="B15" i="4"/>
  <c r="C15" i="4" s="1"/>
  <c r="D16" i="4"/>
  <c r="Z29" i="1"/>
  <c r="Z27" i="1"/>
  <c r="Z33" i="1"/>
  <c r="Z34" i="1"/>
  <c r="Z25" i="1"/>
  <c r="Z30" i="1"/>
  <c r="Z31" i="1"/>
  <c r="Z24" i="1"/>
  <c r="Z32" i="1"/>
  <c r="Z28" i="1"/>
  <c r="Z23" i="1"/>
  <c r="Z26" i="1"/>
  <c r="D17" i="4" l="1"/>
  <c r="E16" i="4"/>
  <c r="F16" i="4" s="1"/>
  <c r="B16" i="4"/>
  <c r="C16" i="4" s="1"/>
  <c r="D18" i="4" l="1"/>
  <c r="E17" i="4"/>
  <c r="F17" i="4" s="1"/>
  <c r="B17" i="4"/>
  <c r="C17" i="4" s="1"/>
  <c r="E18" i="4" l="1"/>
  <c r="F18" i="4" s="1"/>
  <c r="D19" i="4"/>
  <c r="B18" i="4"/>
  <c r="C18" i="4" s="1"/>
  <c r="B19" i="4" l="1"/>
  <c r="C19" i="4" s="1"/>
  <c r="D20" i="4"/>
  <c r="E19" i="4"/>
  <c r="F19" i="4" s="1"/>
  <c r="E20" i="4" l="1"/>
  <c r="F20" i="4" s="1"/>
  <c r="B20" i="4"/>
  <c r="C20" i="4" s="1"/>
  <c r="D21" i="4"/>
  <c r="B21" i="4" l="1"/>
  <c r="C21" i="4" s="1"/>
  <c r="D22" i="4"/>
  <c r="E21" i="4"/>
  <c r="F21" i="4" s="1"/>
  <c r="B22" i="4" l="1"/>
  <c r="C22" i="4" s="1"/>
  <c r="E22" i="4"/>
  <c r="F22" i="4" s="1"/>
  <c r="D23" i="4"/>
  <c r="E23" i="4" l="1"/>
  <c r="F23" i="4" s="1"/>
  <c r="B23" i="4"/>
  <c r="C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Mutter Arthur (AE/PJ-SCI)</author>
    <author>Mutter Arthur (AE/EID5)</author>
    <author>Arthur Mutter</author>
  </authors>
  <commentList>
    <comment ref="B11" authorId="0" shapeId="0" xr:uid="{00000000-0006-0000-0000-000001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actual tolerance of the CAN clock in the system</t>
        </r>
      </text>
    </comment>
    <comment ref="R17" authorId="1" shapeId="0" xr:uid="{00000000-0006-0000-0000-000002000000}">
      <text>
        <r>
          <rPr>
            <b/>
            <sz val="9"/>
            <color indexed="81"/>
            <rFont val="Segoe UI"/>
            <family val="2"/>
          </rPr>
          <t>Mutter Arthur:</t>
        </r>
        <r>
          <rPr>
            <sz val="9"/>
            <color indexed="81"/>
            <rFont val="Segoe UI"/>
            <family val="2"/>
          </rPr>
          <t xml:space="preserve">
Related to SSP and TDC:
- The supported max. TD (Transmitter Delay) is given here.
- The TD is measured automatically by the CAN controller.
- Warn the user, if TD_max drops below 500 ns. Real systems have a worst case TD_max of approx. 400ns.
- A limitation may occur when CAN_clock ist large (e.g. 80MHz) and a low bitrate (e.g. 1Mbit/s or less) is used with TDC=on.</t>
        </r>
      </text>
    </comment>
    <comment ref="S17" authorId="1" shapeId="0" xr:uid="{00000000-0006-0000-0000-000003000000}">
      <text>
        <r>
          <rPr>
            <b/>
            <sz val="9"/>
            <color indexed="81"/>
            <rFont val="Segoe UI"/>
            <family val="2"/>
          </rPr>
          <t xml:space="preserve">Mutter Arthur:
</t>
        </r>
        <r>
          <rPr>
            <sz val="9"/>
            <color indexed="81"/>
            <rFont val="Segoe UI"/>
            <family val="2"/>
          </rPr>
          <t>The PropSeg in the Arbitration Phase accounts the sum of the following effects. All effects have in common that they lead to an unstable/unavailable CAN bus signal.
- RoundTrip delay between the two most distant nodes
- Ringing
- Bit Asymmetries</t>
        </r>
      </text>
    </comment>
    <comment ref="T17" authorId="2" shapeId="0" xr:uid="{00000000-0006-0000-0000-000004000000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"Paramter Check" checks the following things:
- Are parameter ranges given by the implementation met?
- Is SJW &lt;= Phase_Seg1/2
- Is Secondary Sample Point inside the bit (only when TDC=yes)</t>
        </r>
      </text>
    </comment>
    <comment ref="U17" authorId="0" shapeId="0" xr:uid="{00000000-0006-0000-0000-000005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This is the maximum tolerance of the can_clk, which is tolerated by the CAN protocol.</t>
        </r>
      </text>
    </comment>
    <comment ref="N19" authorId="2" shapeId="0" xr:uid="{00000000-0006-0000-0000-000006000000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1 clk_cycle = 1 mtq. The SSP Offset is automatically set to a value, so that it is “SSP Offset = SP – 1 mtq”. Doing this allows to use only PM1 and PM2 to evaluate the robustness for a given SSP. 
Remark: For an arbitrary SSP position a specific phase margin need to be calculated for the TX node, to be able to evaluate the robustness for a given SSP.
The SSP Offset is configured in can_clk periods.
One can_clk period is equal to one minimum time quantum.
This configuartion parameter in a specific CAN controller may be also called "TDC Offset".</t>
        </r>
      </text>
    </comment>
    <comment ref="D20" authorId="2" shapeId="0" xr:uid="{00000000-0006-0000-0000-000007000000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Used in 
* TX-Node: when TDC is OFF
* RX-Node: allways</t>
        </r>
      </text>
    </comment>
    <comment ref="E20" authorId="2" shapeId="0" xr:uid="{00000000-0006-0000-0000-000008000000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Used in 
* TX-Node: when TDC is ON
* RX-Node: NEVER</t>
        </r>
      </text>
    </comment>
    <comment ref="B42" authorId="0" shapeId="0" xr:uid="{00000000-0006-0000-0000-000009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asymmetry introduced by the physical layer components that are present between two transceivers: cabling, termination, includes also ringing</t>
        </r>
      </text>
    </comment>
    <comment ref="B46" authorId="0" shapeId="0" xr:uid="{00000000-0006-0000-0000-00000A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In worst case, an asymmetry of 2x the clock jitter has to be considered for A1 and A2. Enter into this field the final value: 2x clock jitter.</t>
        </r>
      </text>
    </comment>
    <comment ref="B47" authorId="0" shapeId="0" xr:uid="{00000000-0006-0000-0000-00000B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margin to allow to change the topology later, e.g. by adding a new node</t>
        </r>
      </text>
    </comment>
    <comment ref="B48" authorId="0" shapeId="0" xr:uid="{00000000-0006-0000-0000-00000C000000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place holder for an additonal source of asymmetry in user setup</t>
        </r>
      </text>
    </comment>
    <comment ref="D65" authorId="0" shapeId="0" xr:uid="{00000000-0006-0000-0000-00000D000000}">
      <text>
        <r>
          <rPr>
            <sz val="9"/>
            <color indexed="81"/>
            <rFont val="Geneva"/>
          </rPr>
          <t xml:space="preserve">Allowed Bit Time Range in TQ </t>
        </r>
      </text>
    </comment>
    <comment ref="D71" authorId="0" shapeId="0" xr:uid="{00000000-0006-0000-0000-00000E000000}">
      <text>
        <r>
          <rPr>
            <sz val="9"/>
            <color indexed="81"/>
            <rFont val="Geneva"/>
          </rPr>
          <t xml:space="preserve">Allowed Bit Time Range in TQ </t>
        </r>
      </text>
    </comment>
    <comment ref="F71" authorId="0" shapeId="0" xr:uid="{00000000-0006-0000-0000-00000F000000}">
      <text>
        <r>
          <rPr>
            <b/>
            <sz val="9"/>
            <color indexed="81"/>
            <rFont val="Geneva"/>
          </rPr>
          <t>Hint:</t>
        </r>
        <r>
          <rPr>
            <sz val="9"/>
            <color indexed="81"/>
            <rFont val="Geneva"/>
          </rPr>
          <t xml:space="preserve">
The Data Bit Time has to consist of at least 4 Time Quanta: DataBitTime=PhaseSeg1+PhaseSeg2+ProSeg+SyncSeg&gt;=4
A Data bit with just 3 TQ configurable in IP Module, but not supported!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Mutter Arthur (AE/PJ-SCI)</author>
    <author>Mutter Arthur (AE/EID5)</author>
    <author>Arthur Mutter</author>
  </authors>
  <commentList>
    <comment ref="B5" authorId="0" shapeId="0" xr:uid="{D22DCB7B-80C9-49A5-AF3A-042FA5C6FCC8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actual tolerance of the CAN clock in the system</t>
        </r>
      </text>
    </comment>
    <comment ref="R11" authorId="1" shapeId="0" xr:uid="{EC95F604-5A1B-43E0-BF3B-716FC669AB19}">
      <text>
        <r>
          <rPr>
            <b/>
            <sz val="9"/>
            <color indexed="81"/>
            <rFont val="Segoe UI"/>
            <family val="2"/>
          </rPr>
          <t>Mutter Arthur:</t>
        </r>
        <r>
          <rPr>
            <sz val="9"/>
            <color indexed="81"/>
            <rFont val="Segoe UI"/>
            <family val="2"/>
          </rPr>
          <t xml:space="preserve">
Related to SSP and TDC:
- The supported max. TD (Transmitter Delay) is given here.
- The TD is measured automatically by the CAN controller.
- Warn the user, if TD_max drops below 500 ns. Real systems have a worst case TD_max of approx. 400ns.
- A limitation may occur when CAN_clock ist large (e.g. 80MHz) and a low bitrate (e.g. 1Mbit/s or less) is used with TDC=on.</t>
        </r>
      </text>
    </comment>
    <comment ref="S11" authorId="1" shapeId="0" xr:uid="{9C9AE30B-2A37-4CB9-B782-61A93C4FE2C1}">
      <text>
        <r>
          <rPr>
            <b/>
            <sz val="9"/>
            <color indexed="81"/>
            <rFont val="Segoe UI"/>
            <family val="2"/>
          </rPr>
          <t xml:space="preserve">Mutter Arthur:
</t>
        </r>
        <r>
          <rPr>
            <sz val="9"/>
            <color indexed="81"/>
            <rFont val="Segoe UI"/>
            <family val="2"/>
          </rPr>
          <t>The PropSeg in the Arbitration Phase accounts the sum of the following effects. All effects have in common that they lead to an unstable/unavailable CAN bus signal.
- RoundTrip delay between the two most distant nodes
- Ringing
- Bit Asymmetries</t>
        </r>
      </text>
    </comment>
    <comment ref="T11" authorId="2" shapeId="0" xr:uid="{E70EF718-BC9D-4638-9854-89382FBA3694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"Paramter Check" checks the following things:
- Are parameter ranges given by the implementation met?
- Is SJW &lt;= Phase_Seg1/2
- Is Secondary Sample Point inside the bit (only when TDC=yes)</t>
        </r>
      </text>
    </comment>
    <comment ref="U11" authorId="0" shapeId="0" xr:uid="{DCF7A2F8-E0F7-4F5D-8A83-215E8029DE5B}">
      <text>
        <r>
          <rPr>
            <b/>
            <sz val="9"/>
            <color indexed="81"/>
            <rFont val="Geneva"/>
          </rPr>
          <t>Mutter Arthur (AE/PJ-SCI):</t>
        </r>
        <r>
          <rPr>
            <sz val="9"/>
            <color indexed="81"/>
            <rFont val="Geneva"/>
          </rPr>
          <t xml:space="preserve">
This is the maximum tolerance of the can_clk, which is tolerated by the CAN protocol.</t>
        </r>
      </text>
    </comment>
    <comment ref="N13" authorId="2" shapeId="0" xr:uid="{80646C56-E55E-457F-9410-35EA9567FAB1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1 clk_cycle = 1 mtq. The SSP Offset is automatically set to a value, so that it is “SSP Offset = SP – 1 mtq”. Doing this allows to use only PM1 and PM2 to evaluate the robustness for a given SSP. 
Remark: For an arbitrary SSP position a specific phase margin need to be calculated for the TX node, to be able to evaluate the robustness for a given SSP.
The SSP Offset is configured in can_clk periods.
One can_clk period is equal to one minimum time quantum.
This configuartion parameter in a specific CAN controller may be also called "TDC Offset".</t>
        </r>
      </text>
    </comment>
    <comment ref="D14" authorId="2" shapeId="0" xr:uid="{B9D9F2F6-0241-429D-9FF2-829E81E72C1E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Used in 
* TX-Node: when TDC is OFF
* RX-Node: allways</t>
        </r>
      </text>
    </comment>
    <comment ref="E14" authorId="2" shapeId="0" xr:uid="{F5A6F68B-5C09-41EA-9087-CD02C4900668}">
      <text>
        <r>
          <rPr>
            <b/>
            <sz val="9"/>
            <color indexed="81"/>
            <rFont val="Geneva"/>
          </rPr>
          <t>Arthur Mutter:</t>
        </r>
        <r>
          <rPr>
            <sz val="9"/>
            <color indexed="81"/>
            <rFont val="Geneva"/>
          </rPr>
          <t xml:space="preserve">
Used in 
* TX-Node: when TDC is ON
* RX-Node: NEVER</t>
        </r>
      </text>
    </comment>
  </commentList>
</comments>
</file>

<file path=xl/sharedStrings.xml><?xml version="1.0" encoding="utf-8"?>
<sst xmlns="http://schemas.openxmlformats.org/spreadsheetml/2006/main" count="320" uniqueCount="175">
  <si>
    <t>SJW</t>
  </si>
  <si>
    <t>[%]</t>
  </si>
  <si>
    <t>MHz</t>
  </si>
  <si>
    <t>[error flag]</t>
  </si>
  <si>
    <t>ns</t>
  </si>
  <si>
    <t>df</t>
  </si>
  <si>
    <t>Phase</t>
  </si>
  <si>
    <t>yes</t>
  </si>
  <si>
    <t>[resync]</t>
  </si>
  <si>
    <t>Min</t>
  </si>
  <si>
    <t>Max</t>
  </si>
  <si>
    <t>Parameter Check</t>
  </si>
  <si>
    <t>--</t>
  </si>
  <si>
    <t>Phase_Seg2</t>
  </si>
  <si>
    <t>Phase_Seg1+Prop</t>
  </si>
  <si>
    <t>Arbitration:</t>
  </si>
  <si>
    <t>Unit</t>
  </si>
  <si>
    <t>Changes</t>
  </si>
  <si>
    <t>Version</t>
  </si>
  <si>
    <t>Date</t>
  </si>
  <si>
    <t>df_used</t>
  </si>
  <si>
    <r>
      <t>f</t>
    </r>
    <r>
      <rPr>
        <b/>
        <vertAlign val="subscript"/>
        <sz val="10"/>
        <rFont val="Arial"/>
        <family val="2"/>
      </rPr>
      <t>nom</t>
    </r>
  </si>
  <si>
    <t>CAN clock</t>
  </si>
  <si>
    <t>period</t>
  </si>
  <si>
    <t>condtion 2</t>
  </si>
  <si>
    <t>condition 3</t>
  </si>
  <si>
    <t>A1</t>
  </si>
  <si>
    <t>A2</t>
  </si>
  <si>
    <t>Transceiver</t>
  </si>
  <si>
    <t>Source</t>
  </si>
  <si>
    <t>Asymmetry</t>
  </si>
  <si>
    <t>Topology</t>
  </si>
  <si>
    <t>CAN clock jitter</t>
  </si>
  <si>
    <t>Galvanic isolation</t>
  </si>
  <si>
    <t>Sum</t>
  </si>
  <si>
    <t>Margin for extensions</t>
  </si>
  <si>
    <t>for 2 Transceivers</t>
  </si>
  <si>
    <t>for TX node loopback</t>
  </si>
  <si>
    <t>Comment</t>
  </si>
  <si>
    <t>Consequence, when this source of error is not considered and all other sources of error have their worst case value</t>
  </si>
  <si>
    <t>minor, sometimes an error is detected and an error frame is visible</t>
  </si>
  <si>
    <t>Remarks</t>
  </si>
  <si>
    <t>TDC usage</t>
  </si>
  <si>
    <t>no</t>
  </si>
  <si>
    <t>min for SM OK</t>
  </si>
  <si>
    <t>min for SM GOOD</t>
  </si>
  <si>
    <t>minimum required value for a functinal setup</t>
  </si>
  <si>
    <t>minimum required value for a good setup (with some margin)</t>
  </si>
  <si>
    <t>PCB</t>
  </si>
  <si>
    <t>uC and transceiver pins</t>
  </si>
  <si>
    <t>Custom</t>
  </si>
  <si>
    <t>- All sources of errors are at their worst case. Consequently, the calculation assumes the simultanous occurence of all worst cases.</t>
  </si>
  <si>
    <t>always present</t>
  </si>
  <si>
    <t>TDC
[yes/ no]</t>
  </si>
  <si>
    <t>SSP Offset
[clk cycle]</t>
  </si>
  <si>
    <t>CAN clock tolerance (df)</t>
  </si>
  <si>
    <t>Bit-timing settings</t>
  </si>
  <si>
    <t>Arbitration phase</t>
  </si>
  <si>
    <t>Data phase</t>
  </si>
  <si>
    <t>Bit rate [Mbit/s]</t>
  </si>
  <si>
    <t>SP</t>
  </si>
  <si>
    <t>SSP</t>
  </si>
  <si>
    <t>BRP</t>
  </si>
  <si>
    <t>tq      [ns]</t>
  </si>
  <si>
    <t>SP or SSP</t>
  </si>
  <si>
    <t>tq per bit time</t>
  </si>
  <si>
    <r>
      <t>Bit-timing [tq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, tq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>]</t>
    </r>
  </si>
  <si>
    <t>PM1
[ns]</t>
  </si>
  <si>
    <t>PM2
[ns]</t>
  </si>
  <si>
    <t>SM1
[ns]</t>
  </si>
  <si>
    <t>SM2
[ns]</t>
  </si>
  <si>
    <t>Bit asymmetry calculation (data phase)</t>
  </si>
  <si>
    <t>RX node</t>
  </si>
  <si>
    <t>fatal, comminication is not possible</t>
  </si>
  <si>
    <t>fatal, comminication is  not possible</t>
  </si>
  <si>
    <t>The calculation of the SMs assumes the following:</t>
  </si>
  <si>
    <t>tq</t>
  </si>
  <si>
    <t>can_clk cycles = mtq</t>
  </si>
  <si>
    <t>Bit time</t>
  </si>
  <si>
    <t>Robustnes
check</t>
  </si>
  <si>
    <t xml:space="preserve">condtion 1 </t>
  </si>
  <si>
    <t>Coloring of SM result</t>
  </si>
  <si>
    <t xml:space="preserve">Scope </t>
  </si>
  <si>
    <t>v.0.1</t>
  </si>
  <si>
    <t>Text in blue marks the editable parameters. Adapt them to match your system setup.</t>
  </si>
  <si>
    <t>always present, the typical transceiver is better</t>
  </si>
  <si>
    <t>- The TX node should use TDC</t>
  </si>
  <si>
    <t>always present, the typical device is better</t>
  </si>
  <si>
    <t>Initial version</t>
  </si>
  <si>
    <r>
      <t xml:space="preserve">SSP </t>
    </r>
    <r>
      <rPr>
        <sz val="10"/>
        <rFont val="Arial"/>
        <family val="2"/>
      </rPr>
      <t>o</t>
    </r>
    <r>
      <rPr>
        <sz val="10"/>
        <rFont val="Arial"/>
        <family val="2"/>
      </rPr>
      <t>ffset</t>
    </r>
  </si>
  <si>
    <t>TD_max
allowed
[ns]</t>
  </si>
  <si>
    <t>Prop
Seg</t>
  </si>
  <si>
    <t>Phase
Seg1</t>
  </si>
  <si>
    <t>Phase
Seg2</t>
  </si>
  <si>
    <t>Propag. delay considered in Arb. Phase
[ns]</t>
  </si>
  <si>
    <t>Evaluation</t>
  </si>
  <si>
    <t>TD_max warning level</t>
  </si>
  <si>
    <t>warn the user, if TD_max drops below this value; reason: a typical system has a TD of &lt; 400ns, when this warning applies the user should double check if the TD in his system is lower than TD_max given here.</t>
  </si>
  <si>
    <t>room for future Topology or bus changes</t>
  </si>
  <si>
    <t>S</t>
  </si>
  <si>
    <t>Bits</t>
  </si>
  <si>
    <t>Transceiver Class</t>
  </si>
  <si>
    <t>FD2</t>
  </si>
  <si>
    <t>FD5</t>
  </si>
  <si>
    <t>SIC</t>
  </si>
  <si>
    <t>BitTime [ns]</t>
  </si>
  <si>
    <t>already covered by uC and transceiver pins</t>
  </si>
  <si>
    <t>SIC XL</t>
  </si>
  <si>
    <t>jitter</t>
  </si>
  <si>
    <t>ps</t>
  </si>
  <si>
    <t>CiA 612-1  version 0.0.1 recommends to use 160 MHz to achieve interoperability between CAN nodes.</t>
  </si>
  <si>
    <t>Long Term Random Jitter, see CiA 612-1 for measurement instructions</t>
  </si>
  <si>
    <t>stochastic, rarely present with worst-case value</t>
  </si>
  <si>
    <t>Data FD/XL:</t>
  </si>
  <si>
    <t>Each S-th bit is a fixed stuff bit in the data phase</t>
  </si>
  <si>
    <t>Optimal SP positions when using SIC XL transceiver in FAST mode</t>
  </si>
  <si>
    <t>Bit time
[ns]</t>
  </si>
  <si>
    <t>Bit rate
[Mbit/s]</t>
  </si>
  <si>
    <t>tq
per bit time</t>
  </si>
  <si>
    <t>SP
recommendation</t>
  </si>
  <si>
    <t>SP
recommendation [tq]</t>
  </si>
  <si>
    <t>v2</t>
  </si>
  <si>
    <t>no changes tracked, sorry</t>
  </si>
  <si>
    <t>v2.1</t>
  </si>
  <si>
    <t>TD_warning level (conditional formating) was not workgin correctly =&gt; fixed (column O)</t>
  </si>
  <si>
    <t>v2.2</t>
  </si>
  <si>
    <t>CAN SIC XL Transceiver parameters updated: von +-7.5ns =&gt; +-5ns; Changed in Headline for Configuration Ranges the CiA610-2 Version from 0.0.0.3 to 1.0</t>
  </si>
  <si>
    <t>v2.3</t>
  </si>
  <si>
    <t>PM2 formula updated from FD to XL for DataPhaseBitTimings 2nd to Nth (first line was already correct)</t>
  </si>
  <si>
    <t>Typical SP calculator according CiA612-1 for SIC and SIC XL transceivers</t>
  </si>
  <si>
    <t>SP Position: SP is at the first possiblity to the right from the center of the bit.</t>
  </si>
  <si>
    <t>v2.4</t>
  </si>
  <si>
    <t>ISO 11898-1:2024 minimum configuration ranges for CAN XL nodes</t>
  </si>
  <si>
    <t>Bit Timing Segments Config Limits from ISO: checked, was already correct</t>
  </si>
  <si>
    <t>PWMO</t>
  </si>
  <si>
    <t>PWMS</t>
  </si>
  <si>
    <t>PWML</t>
  </si>
  <si>
    <t>[mtq]</t>
  </si>
  <si>
    <t>TODO: add PWM config calculation for &lt; 5 Mbit/s in VBA</t>
  </si>
  <si>
    <t>Added PWM config for &gt;= 5 Mbit/s</t>
  </si>
  <si>
    <t>Auxiliary calculation for maximally allowed CAN clock tolerance (see CiA 612-1)</t>
  </si>
  <si>
    <t>- SPs are equal in all CAN nodes (The positions of the arbitration phase SP and the data phase SP may be different); PM and SM depend on the SP position!</t>
  </si>
  <si>
    <t>CAN XL bit-timing configuration and evaluation tool, version 2.4</t>
  </si>
  <si>
    <t>This spreadsheet helps to perform the CAN XL bit timing configration. It generates PWM configuration, PM, SM, clock tolerance df, etc.</t>
  </si>
  <si>
    <t>Changed scope text</t>
  </si>
  <si>
    <t>PWM settings</t>
  </si>
  <si>
    <t>Predefined BT configs:</t>
  </si>
  <si>
    <t>Mbit/s</t>
  </si>
  <si>
    <t>General settings</t>
  </si>
  <si>
    <t>%</t>
  </si>
  <si>
    <t>Bit Timing settings</t>
  </si>
  <si>
    <t>-</t>
  </si>
  <si>
    <t>tq length [ns]</t>
  </si>
  <si>
    <t>PropSeg</t>
  </si>
  <si>
    <t>PhaseSeg1</t>
  </si>
  <si>
    <t>PhaseSeg2</t>
  </si>
  <si>
    <t>TDC (yes/no)</t>
  </si>
  <si>
    <t>SP [%]</t>
  </si>
  <si>
    <t>SSP [%]</t>
  </si>
  <si>
    <t>SSP Offset [clk]</t>
  </si>
  <si>
    <t>TD max.</t>
  </si>
  <si>
    <t>PropSeg max [ns]</t>
  </si>
  <si>
    <t>Data
phase</t>
  </si>
  <si>
    <t>Arbitration
phase</t>
  </si>
  <si>
    <t>Bit Timing prop.</t>
  </si>
  <si>
    <t>Properties</t>
  </si>
  <si>
    <t>CAN clock df</t>
  </si>
  <si>
    <t>CAN clock Freq.</t>
  </si>
  <si>
    <t>PM1 [ns]</t>
  </si>
  <si>
    <t>PM2 [ns]</t>
  </si>
  <si>
    <t>SM1 [ns]</t>
  </si>
  <si>
    <t>SM2 [ns]</t>
  </si>
  <si>
    <t>Asymetry Settings</t>
  </si>
  <si>
    <t>Sum [ns]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</si>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</sst>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0.000"/>
    <numFmt numFmtId="167" formatCode="0\ &quot;ns&quot;"/>
    <numFmt numFmtId="168" formatCode="0.0\ &quot;ns&quot;"/>
  </numFmts>
  <fonts count="32">
    <font>
      <sz val="10"/>
      <name val="Arial"/>
    </font>
    <font>
      <sz val="10"/>
      <name val="Arial"/>
    </font>
    <font>
      <sz val="11"/>
      <name val="Bosch Office Sans"/>
      <family val="2"/>
    </font>
    <font>
      <b/>
      <sz val="10"/>
      <color indexed="48"/>
      <name val="Arial"/>
      <family val="2"/>
    </font>
    <font>
      <b/>
      <sz val="10"/>
      <color indexed="17"/>
      <name val="Arial"/>
      <family val="2"/>
    </font>
    <font>
      <b/>
      <sz val="10"/>
      <color indexed="53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color indexed="53"/>
      <name val="Arial"/>
      <family val="2"/>
    </font>
    <font>
      <b/>
      <vertAlign val="subscript"/>
      <sz val="10"/>
      <name val="Arial"/>
      <family val="2"/>
    </font>
    <font>
      <sz val="10"/>
      <color indexed="48"/>
      <name val="Arial"/>
      <family val="2"/>
    </font>
    <font>
      <vertAlign val="subscript"/>
      <sz val="10"/>
      <name val="Arial"/>
      <family val="2"/>
    </font>
    <font>
      <sz val="8"/>
      <name val="Arial"/>
      <family val="2"/>
    </font>
    <font>
      <sz val="9"/>
      <color indexed="81"/>
      <name val="Geneva"/>
    </font>
    <font>
      <b/>
      <sz val="9"/>
      <color indexed="81"/>
      <name val="Geneva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rgb="FF00B050"/>
      <name val="Arial"/>
      <family val="2"/>
    </font>
    <font>
      <sz val="10"/>
      <color rgb="FFC00000"/>
      <name val="Arial"/>
      <family val="2"/>
    </font>
    <font>
      <sz val="11"/>
      <color rgb="FFFF0000"/>
      <name val="Bosch Office Sans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6" fillId="0" borderId="0" xfId="0" applyFont="1"/>
    <xf numFmtId="0" fontId="7" fillId="0" borderId="0" xfId="0" applyFont="1"/>
    <xf numFmtId="0" fontId="4" fillId="2" borderId="0" xfId="0" applyFont="1" applyFill="1" applyAlignment="1">
      <alignment horizontal="center"/>
    </xf>
    <xf numFmtId="0" fontId="24" fillId="0" borderId="0" xfId="0" applyFont="1"/>
    <xf numFmtId="0" fontId="8" fillId="0" borderId="0" xfId="0" applyFont="1"/>
    <xf numFmtId="0" fontId="5" fillId="0" borderId="0" xfId="0" applyFont="1"/>
    <xf numFmtId="0" fontId="2" fillId="0" borderId="0" xfId="0" applyFont="1" applyAlignment="1">
      <alignment horizontal="justify" wrapText="1"/>
    </xf>
    <xf numFmtId="0" fontId="11" fillId="0" borderId="0" xfId="0" applyFont="1"/>
    <xf numFmtId="0" fontId="10" fillId="0" borderId="0" xfId="0" applyFont="1"/>
    <xf numFmtId="0" fontId="11" fillId="0" borderId="0" xfId="0" quotePrefix="1" applyFont="1"/>
    <xf numFmtId="0" fontId="0" fillId="0" borderId="0" xfId="0" quotePrefix="1"/>
    <xf numFmtId="4" fontId="10" fillId="0" borderId="0" xfId="0" applyNumberFormat="1" applyFont="1"/>
    <xf numFmtId="2" fontId="15" fillId="0" borderId="0" xfId="0" applyNumberFormat="1" applyFont="1"/>
    <xf numFmtId="0" fontId="15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wrapText="1"/>
    </xf>
    <xf numFmtId="10" fontId="8" fillId="5" borderId="0" xfId="2" applyNumberFormat="1" applyFont="1" applyFill="1" applyAlignment="1"/>
    <xf numFmtId="10" fontId="13" fillId="0" borderId="0" xfId="0" applyNumberFormat="1" applyFont="1" applyAlignment="1">
      <alignment horizontal="left"/>
    </xf>
    <xf numFmtId="10" fontId="8" fillId="4" borderId="0" xfId="2" applyNumberFormat="1" applyFont="1" applyFill="1" applyAlignment="1"/>
    <xf numFmtId="0" fontId="11" fillId="0" borderId="0" xfId="0" applyFont="1" applyAlignment="1">
      <alignment horizontal="left" vertical="top" wrapText="1"/>
    </xf>
    <xf numFmtId="0" fontId="12" fillId="0" borderId="0" xfId="0" quotePrefix="1" applyFont="1"/>
    <xf numFmtId="0" fontId="4" fillId="6" borderId="0" xfId="0" applyFont="1" applyFill="1" applyAlignment="1">
      <alignment horizontal="center"/>
    </xf>
    <xf numFmtId="0" fontId="10" fillId="7" borderId="0" xfId="0" applyFont="1" applyFill="1"/>
    <xf numFmtId="0" fontId="0" fillId="7" borderId="0" xfId="0" applyFill="1"/>
    <xf numFmtId="0" fontId="25" fillId="8" borderId="0" xfId="0" applyFont="1" applyFill="1" applyAlignment="1">
      <alignment horizontal="left"/>
    </xf>
    <xf numFmtId="0" fontId="9" fillId="0" borderId="0" xfId="0" applyFont="1"/>
    <xf numFmtId="14" fontId="0" fillId="0" borderId="0" xfId="0" applyNumberFormat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26" fillId="0" borderId="0" xfId="0" applyFont="1"/>
    <xf numFmtId="0" fontId="26" fillId="0" borderId="0" xfId="0" applyFont="1" applyAlignment="1">
      <alignment horizontal="left" vertical="top"/>
    </xf>
    <xf numFmtId="10" fontId="8" fillId="0" borderId="0" xfId="2" applyNumberFormat="1" applyFont="1" applyFill="1" applyAlignment="1"/>
    <xf numFmtId="0" fontId="10" fillId="0" borderId="0" xfId="0" applyFont="1" applyAlignment="1">
      <alignment horizontal="center"/>
    </xf>
    <xf numFmtId="167" fontId="0" fillId="0" borderId="0" xfId="0" applyNumberFormat="1"/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 wrapText="1"/>
    </xf>
    <xf numFmtId="1" fontId="27" fillId="0" borderId="0" xfId="1" applyNumberFormat="1" applyFont="1"/>
    <xf numFmtId="0" fontId="10" fillId="4" borderId="1" xfId="0" applyFont="1" applyFill="1" applyBorder="1" applyAlignment="1">
      <alignment horizontal="center" vertical="top" wrapText="1"/>
    </xf>
    <xf numFmtId="167" fontId="11" fillId="0" borderId="0" xfId="0" applyNumberFormat="1" applyFont="1" applyAlignment="1">
      <alignment horizontal="left" vertical="top" wrapText="1"/>
    </xf>
    <xf numFmtId="167" fontId="10" fillId="0" borderId="0" xfId="0" applyNumberFormat="1" applyFont="1" applyAlignment="1">
      <alignment horizontal="right" vertical="top" wrapText="1"/>
    </xf>
    <xf numFmtId="0" fontId="10" fillId="4" borderId="2" xfId="0" applyFont="1" applyFill="1" applyBorder="1" applyAlignment="1">
      <alignment vertical="top"/>
    </xf>
    <xf numFmtId="0" fontId="10" fillId="4" borderId="3" xfId="0" applyFont="1" applyFill="1" applyBorder="1" applyAlignment="1">
      <alignment vertical="top"/>
    </xf>
    <xf numFmtId="167" fontId="10" fillId="0" borderId="0" xfId="0" applyNumberFormat="1" applyFont="1" applyAlignment="1">
      <alignment horizontal="right" vertical="top"/>
    </xf>
    <xf numFmtId="0" fontId="23" fillId="0" borderId="0" xfId="0" applyFont="1" applyAlignment="1">
      <alignment horizontal="left" vertical="top" wrapText="1"/>
    </xf>
    <xf numFmtId="0" fontId="23" fillId="0" borderId="0" xfId="0" applyFont="1"/>
    <xf numFmtId="0" fontId="28" fillId="0" borderId="0" xfId="0" applyFont="1" applyAlignment="1">
      <alignment horizontal="justify" wrapText="1"/>
    </xf>
    <xf numFmtId="0" fontId="23" fillId="0" borderId="0" xfId="0" applyFont="1" applyAlignment="1">
      <alignment horizontal="left" vertical="top"/>
    </xf>
    <xf numFmtId="0" fontId="10" fillId="7" borderId="0" xfId="0" applyFont="1" applyFill="1" applyAlignment="1">
      <alignment horizontal="left" vertical="top"/>
    </xf>
    <xf numFmtId="167" fontId="10" fillId="7" borderId="0" xfId="0" applyNumberFormat="1" applyFont="1" applyFill="1" applyAlignment="1">
      <alignment horizontal="right" vertical="top" wrapText="1"/>
    </xf>
    <xf numFmtId="0" fontId="9" fillId="3" borderId="4" xfId="0" applyFont="1" applyFill="1" applyBorder="1" applyAlignment="1">
      <alignment horizontal="left" vertical="top" wrapText="1"/>
    </xf>
    <xf numFmtId="166" fontId="27" fillId="5" borderId="1" xfId="0" applyNumberFormat="1" applyFont="1" applyFill="1" applyBorder="1" applyAlignment="1">
      <alignment horizontal="right" wrapText="1"/>
    </xf>
    <xf numFmtId="165" fontId="27" fillId="5" borderId="1" xfId="2" applyNumberFormat="1" applyFont="1" applyFill="1" applyBorder="1" applyAlignment="1">
      <alignment horizontal="right" wrapText="1"/>
    </xf>
    <xf numFmtId="0" fontId="9" fillId="5" borderId="1" xfId="0" quotePrefix="1" applyFont="1" applyFill="1" applyBorder="1" applyAlignment="1">
      <alignment horizontal="justify" wrapText="1"/>
    </xf>
    <xf numFmtId="0" fontId="9" fillId="5" borderId="1" xfId="0" applyFont="1" applyFill="1" applyBorder="1" applyAlignment="1">
      <alignment horizontal="justify" wrapText="1"/>
    </xf>
    <xf numFmtId="0" fontId="9" fillId="4" borderId="1" xfId="0" applyFont="1" applyFill="1" applyBorder="1" applyAlignment="1">
      <alignment horizontal="left" vertical="center" wrapText="1"/>
    </xf>
    <xf numFmtId="166" fontId="27" fillId="4" borderId="1" xfId="0" applyNumberFormat="1" applyFont="1" applyFill="1" applyBorder="1" applyAlignment="1">
      <alignment horizontal="right" wrapText="1"/>
    </xf>
    <xf numFmtId="165" fontId="27" fillId="4" borderId="1" xfId="2" applyNumberFormat="1" applyFont="1" applyFill="1" applyBorder="1" applyAlignment="1">
      <alignment horizontal="right" wrapText="1"/>
    </xf>
    <xf numFmtId="0" fontId="9" fillId="4" borderId="1" xfId="0" applyFont="1" applyFill="1" applyBorder="1" applyAlignment="1">
      <alignment horizontal="justify" wrapText="1"/>
    </xf>
    <xf numFmtId="0" fontId="0" fillId="5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2" fontId="15" fillId="0" borderId="0" xfId="0" applyNumberFormat="1" applyFont="1" applyProtection="1">
      <protection locked="0" hidden="1"/>
    </xf>
    <xf numFmtId="10" fontId="15" fillId="0" borderId="0" xfId="0" applyNumberFormat="1" applyFont="1" applyProtection="1">
      <protection locked="0" hidden="1"/>
    </xf>
    <xf numFmtId="0" fontId="15" fillId="5" borderId="1" xfId="0" applyFont="1" applyFill="1" applyBorder="1" applyAlignment="1" applyProtection="1">
      <alignment horizontal="justify" wrapText="1"/>
      <protection locked="0" hidden="1"/>
    </xf>
    <xf numFmtId="0" fontId="15" fillId="4" borderId="1" xfId="0" applyFont="1" applyFill="1" applyBorder="1" applyAlignment="1" applyProtection="1">
      <alignment horizontal="justify" wrapText="1"/>
      <protection locked="0" hidden="1"/>
    </xf>
    <xf numFmtId="0" fontId="15" fillId="4" borderId="1" xfId="0" applyFont="1" applyFill="1" applyBorder="1" applyAlignment="1" applyProtection="1">
      <alignment horizontal="left" wrapText="1"/>
      <protection locked="0" hidden="1"/>
    </xf>
    <xf numFmtId="167" fontId="29" fillId="0" borderId="0" xfId="0" applyNumberFormat="1" applyFont="1" applyAlignment="1" applyProtection="1">
      <alignment horizontal="right" vertical="top" wrapText="1"/>
      <protection locked="0" hidden="1"/>
    </xf>
    <xf numFmtId="0" fontId="0" fillId="0" borderId="0" xfId="0" applyProtection="1">
      <protection locked="0" hidden="1"/>
    </xf>
    <xf numFmtId="167" fontId="29" fillId="0" borderId="0" xfId="0" applyNumberFormat="1" applyFont="1" applyAlignment="1" applyProtection="1">
      <alignment horizontal="right" vertical="top"/>
      <protection locked="0" hidden="1"/>
    </xf>
    <xf numFmtId="14" fontId="0" fillId="0" borderId="0" xfId="0" applyNumberFormat="1" applyAlignment="1">
      <alignment horizontal="left"/>
    </xf>
    <xf numFmtId="164" fontId="27" fillId="5" borderId="1" xfId="0" applyNumberFormat="1" applyFont="1" applyFill="1" applyBorder="1" applyAlignment="1">
      <alignment horizontal="left" wrapText="1"/>
    </xf>
    <xf numFmtId="1" fontId="27" fillId="4" borderId="1" xfId="0" applyNumberFormat="1" applyFont="1" applyFill="1" applyBorder="1" applyAlignment="1">
      <alignment horizontal="left" wrapText="1"/>
    </xf>
    <xf numFmtId="0" fontId="0" fillId="5" borderId="1" xfId="0" quotePrefix="1" applyFill="1" applyBorder="1" applyAlignment="1" applyProtection="1">
      <alignment horizontal="justify" wrapText="1"/>
      <protection locked="0" hidden="1"/>
    </xf>
    <xf numFmtId="0" fontId="10" fillId="0" borderId="0" xfId="0" applyFont="1" applyAlignment="1">
      <alignment vertical="top"/>
    </xf>
    <xf numFmtId="0" fontId="0" fillId="0" borderId="0" xfId="0" applyAlignment="1">
      <alignment horizontal="left" vertical="top" wrapText="1"/>
    </xf>
    <xf numFmtId="0" fontId="26" fillId="4" borderId="5" xfId="0" applyFont="1" applyFill="1" applyBorder="1"/>
    <xf numFmtId="0" fontId="10" fillId="9" borderId="5" xfId="0" applyFont="1" applyFill="1" applyBorder="1"/>
    <xf numFmtId="0" fontId="10" fillId="9" borderId="0" xfId="0" applyFont="1" applyFill="1"/>
    <xf numFmtId="0" fontId="11" fillId="0" borderId="0" xfId="0" applyFont="1" applyAlignment="1">
      <alignment horizontal="center" vertical="top"/>
    </xf>
    <xf numFmtId="0" fontId="22" fillId="0" borderId="0" xfId="0" applyFont="1"/>
    <xf numFmtId="1" fontId="22" fillId="0" borderId="0" xfId="1" applyNumberFormat="1" applyFont="1"/>
    <xf numFmtId="10" fontId="22" fillId="0" borderId="0" xfId="0" applyNumberFormat="1" applyFont="1"/>
    <xf numFmtId="1" fontId="22" fillId="0" borderId="0" xfId="1" applyNumberFormat="1" applyFont="1" applyAlignment="1">
      <alignment horizontal="right"/>
    </xf>
    <xf numFmtId="0" fontId="22" fillId="0" borderId="0" xfId="0" applyFont="1" applyAlignment="1">
      <alignment horizontal="justify" wrapText="1"/>
    </xf>
    <xf numFmtId="3" fontId="10" fillId="0" borderId="0" xfId="0" applyNumberFormat="1" applyFont="1"/>
    <xf numFmtId="2" fontId="27" fillId="5" borderId="1" xfId="0" applyNumberFormat="1" applyFont="1" applyFill="1" applyBorder="1" applyAlignment="1">
      <alignment horizontal="right" wrapText="1"/>
    </xf>
    <xf numFmtId="2" fontId="27" fillId="4" borderId="1" xfId="0" applyNumberFormat="1" applyFont="1" applyFill="1" applyBorder="1" applyAlignment="1">
      <alignment horizontal="right" wrapText="1"/>
    </xf>
    <xf numFmtId="0" fontId="29" fillId="0" borderId="0" xfId="0" applyFont="1" applyAlignment="1" applyProtection="1">
      <alignment horizontal="left" vertical="top" wrapText="1"/>
      <protection locked="0" hidden="1"/>
    </xf>
    <xf numFmtId="0" fontId="22" fillId="0" borderId="0" xfId="0" applyFont="1" applyAlignment="1">
      <alignment horizontal="right"/>
    </xf>
    <xf numFmtId="168" fontId="9" fillId="0" borderId="0" xfId="0" applyNumberFormat="1" applyFont="1" applyAlignment="1">
      <alignment horizontal="right" vertical="top" wrapText="1"/>
    </xf>
    <xf numFmtId="2" fontId="0" fillId="0" borderId="0" xfId="0" applyNumberFormat="1" applyAlignment="1">
      <alignment horizontal="right"/>
    </xf>
    <xf numFmtId="168" fontId="29" fillId="0" borderId="0" xfId="0" applyNumberFormat="1" applyFont="1" applyAlignment="1" applyProtection="1">
      <alignment horizontal="right" vertical="top" wrapText="1"/>
      <protection locked="0" hidden="1"/>
    </xf>
    <xf numFmtId="168" fontId="0" fillId="0" borderId="0" xfId="0" applyNumberFormat="1"/>
    <xf numFmtId="1" fontId="15" fillId="0" borderId="0" xfId="1" applyNumberFormat="1" applyFont="1" applyProtection="1">
      <protection locked="0" hidden="1"/>
    </xf>
    <xf numFmtId="0" fontId="22" fillId="0" borderId="0" xfId="0" applyFont="1" applyAlignment="1">
      <alignment horizontal="left" vertical="top"/>
    </xf>
    <xf numFmtId="168" fontId="22" fillId="0" borderId="0" xfId="0" applyNumberFormat="1" applyFont="1" applyAlignment="1" applyProtection="1">
      <alignment horizontal="right" vertical="top" wrapText="1"/>
      <protection locked="0" hidden="1"/>
    </xf>
    <xf numFmtId="0" fontId="10" fillId="0" borderId="0" xfId="0" applyFont="1" applyAlignment="1">
      <alignment wrapText="1"/>
    </xf>
    <xf numFmtId="2" fontId="0" fillId="0" borderId="0" xfId="0" applyNumberFormat="1"/>
    <xf numFmtId="165" fontId="0" fillId="0" borderId="0" xfId="1" applyNumberFormat="1" applyFont="1"/>
    <xf numFmtId="0" fontId="30" fillId="0" borderId="0" xfId="0" applyFont="1"/>
    <xf numFmtId="0" fontId="0" fillId="13" borderId="0" xfId="0" applyFill="1"/>
    <xf numFmtId="0" fontId="31" fillId="0" borderId="0" xfId="0" applyFont="1"/>
    <xf numFmtId="0" fontId="0" fillId="15" borderId="6" xfId="0" applyFill="1" applyBorder="1" applyAlignment="1">
      <alignment horizontal="center" vertical="top" wrapText="1"/>
    </xf>
    <xf numFmtId="0" fontId="9" fillId="15" borderId="4" xfId="0" applyFont="1" applyFill="1" applyBorder="1" applyAlignment="1">
      <alignment horizontal="center" vertical="top" wrapText="1"/>
    </xf>
    <xf numFmtId="0" fontId="9" fillId="15" borderId="7" xfId="0" applyFont="1" applyFill="1" applyBorder="1" applyAlignment="1">
      <alignment horizontal="center" vertical="top" wrapText="1"/>
    </xf>
    <xf numFmtId="0" fontId="27" fillId="0" borderId="0" xfId="0" applyFont="1"/>
    <xf numFmtId="0" fontId="10" fillId="4" borderId="0" xfId="0" applyFont="1" applyFill="1" applyAlignment="1">
      <alignment vertical="top"/>
    </xf>
    <xf numFmtId="0" fontId="10" fillId="4" borderId="5" xfId="0" applyFont="1" applyFill="1" applyBorder="1"/>
    <xf numFmtId="0" fontId="9" fillId="0" borderId="0" xfId="0" quotePrefix="1" applyFont="1"/>
    <xf numFmtId="0" fontId="29" fillId="0" borderId="0" xfId="0" applyFont="1"/>
    <xf numFmtId="2" fontId="29" fillId="0" borderId="0" xfId="0" applyNumberFormat="1" applyFont="1" applyProtection="1">
      <protection locked="0" hidden="1"/>
    </xf>
    <xf numFmtId="10" fontId="29" fillId="0" borderId="0" xfId="0" applyNumberFormat="1" applyFont="1" applyProtection="1">
      <protection locked="0" hidden="1"/>
    </xf>
    <xf numFmtId="1" fontId="29" fillId="0" borderId="0" xfId="1" applyNumberFormat="1" applyFont="1" applyProtection="1">
      <protection locked="0" hidden="1"/>
    </xf>
    <xf numFmtId="0" fontId="9" fillId="3" borderId="1" xfId="0" applyFont="1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0" fillId="3" borderId="10" xfId="0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12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  <xf numFmtId="0" fontId="9" fillId="3" borderId="7" xfId="0" applyFont="1" applyFill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9" fillId="10" borderId="4" xfId="0" applyFont="1" applyFill="1" applyBorder="1" applyAlignment="1">
      <alignment horizontal="center" vertical="top" wrapText="1"/>
    </xf>
    <xf numFmtId="0" fontId="9" fillId="10" borderId="7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10" fillId="14" borderId="5" xfId="0" applyFont="1" applyFill="1" applyBorder="1" applyAlignment="1">
      <alignment horizontal="center"/>
    </xf>
    <xf numFmtId="0" fontId="25" fillId="8" borderId="0" xfId="0" applyFont="1" applyFill="1" applyAlignment="1">
      <alignment horizontal="left"/>
    </xf>
    <xf numFmtId="0" fontId="0" fillId="3" borderId="4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wrapText="1"/>
    </xf>
    <xf numFmtId="0" fontId="9" fillId="3" borderId="4" xfId="0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0" fontId="26" fillId="0" borderId="5" xfId="0" applyFont="1" applyBorder="1" applyAlignment="1">
      <alignment horizontal="center" vertical="top"/>
    </xf>
    <xf numFmtId="0" fontId="10" fillId="0" borderId="13" xfId="0" applyFont="1" applyBorder="1" applyAlignment="1">
      <alignment horizontal="left" wrapText="1"/>
    </xf>
    <xf numFmtId="0" fontId="10" fillId="0" borderId="13" xfId="0" applyFont="1" applyBorder="1" applyAlignment="1">
      <alignment horizontal="left"/>
    </xf>
    <xf numFmtId="0" fontId="9" fillId="3" borderId="6" xfId="0" applyFont="1" applyFill="1" applyBorder="1" applyAlignment="1">
      <alignment horizontal="center" vertical="top" wrapText="1"/>
    </xf>
    <xf numFmtId="0" fontId="10" fillId="11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</cellXfs>
  <cellStyles count="3">
    <cellStyle name="Prozent" xfId="1" builtinId="5"/>
    <cellStyle name="Prozent 2" xfId="2" xr:uid="{00000000-0005-0000-0000-000001000000}"/>
    <cellStyle name="Standard" xfId="0" builtinId="0"/>
  </cellStyles>
  <dxfs count="29">
    <dxf>
      <fill>
        <patternFill>
          <bgColor rgb="FFFF9999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D03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auto="1"/>
      </font>
      <fill>
        <patternFill>
          <bgColor rgb="FFFFC000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9999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D03B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auto="1"/>
      </font>
      <fill>
        <patternFill>
          <bgColor rgb="FFFFC000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73"/>
  <sheetViews>
    <sheetView tabSelected="1" zoomScaleNormal="100" workbookViewId="0">
      <selection activeCell="N23" sqref="N23:N33"/>
    </sheetView>
  </sheetViews>
  <sheetFormatPr baseColWidth="10" defaultRowHeight="12.75"/>
  <cols>
    <col min="1" max="1" width="7.85546875" customWidth="1"/>
    <col min="2" max="2" width="11.140625" customWidth="1"/>
    <col min="3" max="4" width="8.7109375" customWidth="1"/>
    <col min="5" max="5" width="9" customWidth="1"/>
    <col min="6" max="6" width="6.7109375" customWidth="1"/>
    <col min="7" max="7" width="7.140625" customWidth="1"/>
    <col min="8" max="8" width="8.42578125" customWidth="1"/>
    <col min="9" max="9" width="7.7109375" customWidth="1"/>
    <col min="10" max="10" width="7.42578125" customWidth="1"/>
    <col min="11" max="11" width="7.7109375" customWidth="1"/>
    <col min="12" max="12" width="7.140625" customWidth="1"/>
    <col min="13" max="13" width="8.28515625" bestFit="1" customWidth="1"/>
    <col min="14" max="14" width="10" bestFit="1" customWidth="1"/>
    <col min="15" max="17" width="9.85546875" customWidth="1"/>
    <col min="18" max="18" width="10" customWidth="1"/>
    <col min="19" max="19" width="12.42578125" bestFit="1" customWidth="1"/>
    <col min="20" max="20" width="10.85546875" customWidth="1"/>
    <col min="21" max="21" width="10.42578125" customWidth="1"/>
    <col min="22" max="22" width="8.140625" customWidth="1"/>
    <col min="23" max="23" width="9.42578125" bestFit="1" customWidth="1"/>
    <col min="24" max="25" width="8.140625" bestFit="1" customWidth="1"/>
    <col min="26" max="26" width="9.85546875" bestFit="1" customWidth="1"/>
    <col min="27" max="27" width="11.5703125" customWidth="1"/>
    <col min="28" max="28" width="11.85546875" bestFit="1" customWidth="1"/>
    <col min="29" max="29" width="12.85546875" customWidth="1"/>
    <col min="30" max="30" width="11.85546875" bestFit="1" customWidth="1"/>
    <col min="31" max="31" width="12" bestFit="1" customWidth="1"/>
  </cols>
  <sheetData>
    <row r="2" spans="2:32" ht="15.75">
      <c r="B2" s="136" t="s">
        <v>142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27"/>
      <c r="V2" s="27"/>
      <c r="W2" s="27"/>
      <c r="X2" s="27"/>
      <c r="Y2" s="27"/>
      <c r="Z2" s="27"/>
    </row>
    <row r="4" spans="2:32">
      <c r="B4" t="s">
        <v>82</v>
      </c>
    </row>
    <row r="5" spans="2:32">
      <c r="B5" s="28" t="s">
        <v>143</v>
      </c>
    </row>
    <row r="6" spans="2:32" ht="15.75">
      <c r="B6" s="2"/>
    </row>
    <row r="7" spans="2:32">
      <c r="B7" s="15" t="s">
        <v>84</v>
      </c>
      <c r="C7" s="9"/>
      <c r="E7" s="11"/>
      <c r="Q7" s="106" t="s">
        <v>138</v>
      </c>
      <c r="R7" s="106"/>
      <c r="S7" s="106"/>
      <c r="T7" s="106"/>
      <c r="U7" s="106"/>
    </row>
    <row r="8" spans="2:32">
      <c r="B8" s="1"/>
      <c r="C8" s="9"/>
      <c r="E8" s="11"/>
      <c r="AF8" s="6"/>
    </row>
    <row r="9" spans="2:32">
      <c r="B9" s="32" t="s">
        <v>22</v>
      </c>
      <c r="D9" s="11"/>
    </row>
    <row r="10" spans="2:32" ht="14.25" customHeight="1">
      <c r="B10" s="10" t="s">
        <v>21</v>
      </c>
      <c r="C10" s="67">
        <v>160</v>
      </c>
      <c r="D10" s="10" t="s">
        <v>2</v>
      </c>
      <c r="E10" t="s">
        <v>110</v>
      </c>
      <c r="F10" s="1"/>
      <c r="G10" s="1"/>
      <c r="H10" s="10"/>
      <c r="J10" s="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C10" s="5"/>
      <c r="AD10" s="5"/>
    </row>
    <row r="11" spans="2:32">
      <c r="B11" s="10" t="s">
        <v>20</v>
      </c>
      <c r="C11" s="68">
        <v>2E-3</v>
      </c>
      <c r="D11" s="10"/>
      <c r="F11" s="1"/>
      <c r="G11" s="1"/>
      <c r="H11" s="10"/>
      <c r="J11" s="10"/>
      <c r="K11" s="13"/>
      <c r="L11" s="1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0"/>
      <c r="AC11" s="5"/>
      <c r="AD11" s="5"/>
    </row>
    <row r="12" spans="2:32">
      <c r="B12" s="10" t="s">
        <v>108</v>
      </c>
      <c r="C12" s="99">
        <v>700</v>
      </c>
      <c r="D12" s="10" t="s">
        <v>109</v>
      </c>
      <c r="E12" t="s">
        <v>111</v>
      </c>
      <c r="F12" s="1"/>
      <c r="G12" s="1"/>
      <c r="H12" s="10"/>
      <c r="J12" s="10"/>
      <c r="K12" s="13"/>
      <c r="L12" s="1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0"/>
      <c r="AC12" s="5"/>
      <c r="AD12" s="5"/>
    </row>
    <row r="13" spans="2:32">
      <c r="B13" s="10" t="s">
        <v>23</v>
      </c>
      <c r="C13" s="13">
        <f>1/$C$10*10^3</f>
        <v>6.25</v>
      </c>
      <c r="D13" s="10" t="s">
        <v>4</v>
      </c>
      <c r="F13" s="1"/>
      <c r="G13" s="1"/>
      <c r="H13" s="10"/>
      <c r="J13" s="10"/>
      <c r="K13" s="13"/>
      <c r="L13" s="1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0"/>
      <c r="AC13" s="5"/>
      <c r="AD13" s="5"/>
    </row>
    <row r="14" spans="2:32">
      <c r="B14" s="10" t="s">
        <v>99</v>
      </c>
      <c r="C14" s="90">
        <v>11</v>
      </c>
      <c r="D14" s="10" t="s">
        <v>100</v>
      </c>
      <c r="E14" s="85" t="s">
        <v>114</v>
      </c>
      <c r="F14" s="1"/>
      <c r="G14" s="1"/>
      <c r="H14" s="10"/>
      <c r="J14" s="10"/>
      <c r="K14" s="13"/>
      <c r="L14" s="1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0"/>
      <c r="AC14" s="5"/>
      <c r="AD14" s="5"/>
    </row>
    <row r="15" spans="2:32">
      <c r="B15" s="1"/>
      <c r="C15" s="14"/>
      <c r="D15" s="14"/>
      <c r="E15" s="14"/>
      <c r="F15" s="14"/>
      <c r="G15" s="14"/>
      <c r="H15" s="15"/>
      <c r="AB15" s="10" t="s">
        <v>140</v>
      </c>
    </row>
    <row r="16" spans="2:32">
      <c r="B16" s="113" t="s">
        <v>56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135" t="s">
        <v>145</v>
      </c>
      <c r="P16" s="135"/>
      <c r="Q16" s="135"/>
      <c r="R16" s="82" t="s">
        <v>95</v>
      </c>
      <c r="S16" s="82"/>
      <c r="T16" s="82"/>
      <c r="U16" s="82"/>
      <c r="V16" s="82"/>
      <c r="W16" s="82"/>
      <c r="X16" s="83"/>
      <c r="Y16" s="83"/>
      <c r="Z16" s="83"/>
      <c r="AA16" s="16"/>
      <c r="AB16" s="132"/>
      <c r="AC16" s="132"/>
      <c r="AD16" s="24"/>
      <c r="AE16" s="7"/>
    </row>
    <row r="17" spans="1:31" ht="12.75" customHeight="1">
      <c r="A17" s="144" t="s">
        <v>105</v>
      </c>
      <c r="B17" s="146" t="s">
        <v>6</v>
      </c>
      <c r="C17" s="126" t="s">
        <v>59</v>
      </c>
      <c r="D17" s="120" t="s">
        <v>64</v>
      </c>
      <c r="E17" s="122"/>
      <c r="F17" s="126" t="s">
        <v>62</v>
      </c>
      <c r="G17" s="126" t="s">
        <v>63</v>
      </c>
      <c r="H17" s="126" t="s">
        <v>65</v>
      </c>
      <c r="I17" s="120" t="s">
        <v>66</v>
      </c>
      <c r="J17" s="121"/>
      <c r="K17" s="121"/>
      <c r="L17" s="121"/>
      <c r="M17" s="121"/>
      <c r="N17" s="122"/>
      <c r="O17" s="108" t="s">
        <v>134</v>
      </c>
      <c r="P17" s="108" t="s">
        <v>135</v>
      </c>
      <c r="Q17" s="108" t="s">
        <v>136</v>
      </c>
      <c r="R17" s="139" t="s">
        <v>90</v>
      </c>
      <c r="S17" s="139" t="s">
        <v>94</v>
      </c>
      <c r="T17" s="119" t="s">
        <v>11</v>
      </c>
      <c r="U17" s="119" t="s">
        <v>55</v>
      </c>
      <c r="V17" s="126" t="s">
        <v>67</v>
      </c>
      <c r="W17" s="126" t="s">
        <v>68</v>
      </c>
      <c r="X17" s="129" t="s">
        <v>69</v>
      </c>
      <c r="Y17" s="129" t="s">
        <v>70</v>
      </c>
      <c r="Z17" s="129" t="s">
        <v>79</v>
      </c>
      <c r="AA17" s="17"/>
      <c r="AB17" s="4" t="s">
        <v>80</v>
      </c>
      <c r="AC17" s="4" t="s">
        <v>24</v>
      </c>
      <c r="AD17" s="24" t="s">
        <v>25</v>
      </c>
      <c r="AE17" s="7"/>
    </row>
    <row r="18" spans="1:31" ht="12.75" customHeight="1">
      <c r="A18" s="145"/>
      <c r="B18" s="127"/>
      <c r="C18" s="127"/>
      <c r="D18" s="54"/>
      <c r="E18" s="54"/>
      <c r="F18" s="127"/>
      <c r="G18" s="127"/>
      <c r="H18" s="127"/>
      <c r="I18" s="123"/>
      <c r="J18" s="124"/>
      <c r="K18" s="124"/>
      <c r="L18" s="124"/>
      <c r="M18" s="124"/>
      <c r="N18" s="125"/>
      <c r="O18" s="109" t="s">
        <v>137</v>
      </c>
      <c r="P18" s="109" t="s">
        <v>137</v>
      </c>
      <c r="Q18" s="109" t="s">
        <v>137</v>
      </c>
      <c r="R18" s="119"/>
      <c r="S18" s="119"/>
      <c r="T18" s="119"/>
      <c r="U18" s="119"/>
      <c r="V18" s="127"/>
      <c r="W18" s="127"/>
      <c r="X18" s="130"/>
      <c r="Y18" s="130"/>
      <c r="Z18" s="130"/>
      <c r="AA18" s="17"/>
      <c r="AB18" s="6" t="s">
        <v>8</v>
      </c>
      <c r="AC18" s="6" t="s">
        <v>3</v>
      </c>
      <c r="AD18" s="6" t="s">
        <v>8</v>
      </c>
      <c r="AE18" s="7"/>
    </row>
    <row r="19" spans="1:31" ht="14.25" customHeight="1">
      <c r="A19" s="145"/>
      <c r="B19" s="127"/>
      <c r="C19" s="127"/>
      <c r="D19" s="54"/>
      <c r="E19" s="54"/>
      <c r="F19" s="127"/>
      <c r="G19" s="127"/>
      <c r="H19" s="127"/>
      <c r="I19" s="133" t="s">
        <v>91</v>
      </c>
      <c r="J19" s="133" t="s">
        <v>92</v>
      </c>
      <c r="K19" s="133" t="s">
        <v>93</v>
      </c>
      <c r="L19" s="133" t="s">
        <v>0</v>
      </c>
      <c r="M19" s="133" t="s">
        <v>53</v>
      </c>
      <c r="N19" s="140" t="s">
        <v>54</v>
      </c>
      <c r="O19" s="109"/>
      <c r="P19" s="109"/>
      <c r="Q19" s="109"/>
      <c r="R19" s="119"/>
      <c r="S19" s="119"/>
      <c r="T19" s="119"/>
      <c r="U19" s="119"/>
      <c r="V19" s="127"/>
      <c r="W19" s="127"/>
      <c r="X19" s="130"/>
      <c r="Y19" s="130"/>
      <c r="Z19" s="130"/>
      <c r="AA19" s="18"/>
      <c r="AB19" s="6" t="s">
        <v>5</v>
      </c>
      <c r="AC19" s="6" t="s">
        <v>5</v>
      </c>
      <c r="AD19" s="6" t="s">
        <v>5</v>
      </c>
      <c r="AE19" s="7"/>
    </row>
    <row r="20" spans="1:31" ht="14.25" customHeight="1">
      <c r="A20" s="145"/>
      <c r="B20" s="127"/>
      <c r="C20" s="127"/>
      <c r="D20" s="137" t="s">
        <v>60</v>
      </c>
      <c r="E20" s="137" t="s">
        <v>61</v>
      </c>
      <c r="F20" s="127"/>
      <c r="G20" s="127"/>
      <c r="H20" s="127"/>
      <c r="I20" s="134"/>
      <c r="J20" s="134"/>
      <c r="K20" s="134"/>
      <c r="L20" s="134"/>
      <c r="M20" s="134"/>
      <c r="N20" s="141"/>
      <c r="O20" s="109"/>
      <c r="P20" s="109"/>
      <c r="Q20" s="109"/>
      <c r="R20" s="119"/>
      <c r="S20" s="119"/>
      <c r="T20" s="119"/>
      <c r="U20" s="119"/>
      <c r="V20" s="127"/>
      <c r="W20" s="127"/>
      <c r="X20" s="130"/>
      <c r="Y20" s="130"/>
      <c r="Z20" s="130"/>
      <c r="AA20" s="18"/>
      <c r="AB20" s="6"/>
      <c r="AC20" s="6"/>
      <c r="AD20" s="6"/>
      <c r="AE20" s="7"/>
    </row>
    <row r="21" spans="1:31" ht="14.25" customHeight="1">
      <c r="A21" s="145"/>
      <c r="B21" s="128"/>
      <c r="C21" s="128"/>
      <c r="D21" s="138"/>
      <c r="E21" s="138"/>
      <c r="F21" s="128"/>
      <c r="G21" s="128"/>
      <c r="H21" s="128"/>
      <c r="I21" s="134"/>
      <c r="J21" s="134"/>
      <c r="K21" s="134"/>
      <c r="L21" s="134"/>
      <c r="M21" s="134"/>
      <c r="N21" s="142"/>
      <c r="O21" s="110"/>
      <c r="P21" s="110"/>
      <c r="Q21" s="110"/>
      <c r="R21" s="119"/>
      <c r="S21" s="119"/>
      <c r="T21" s="119"/>
      <c r="U21" s="119"/>
      <c r="V21" s="128"/>
      <c r="W21" s="128"/>
      <c r="X21" s="131"/>
      <c r="Y21" s="131"/>
      <c r="Z21" s="131"/>
      <c r="AA21" s="18"/>
      <c r="AB21" s="6" t="s">
        <v>1</v>
      </c>
      <c r="AC21" s="6" t="s">
        <v>1</v>
      </c>
      <c r="AD21" s="6" t="s">
        <v>1</v>
      </c>
      <c r="AE21" s="3"/>
    </row>
    <row r="22" spans="1:31" ht="25.5">
      <c r="A22" s="96">
        <f>1/bitrate_a*1000</f>
        <v>2000</v>
      </c>
      <c r="B22" s="63" t="s">
        <v>57</v>
      </c>
      <c r="C22" s="55">
        <f>$C$10/($H22*$F22)</f>
        <v>0.5</v>
      </c>
      <c r="D22" s="56">
        <f>($I22+$J22+1)/$H22</f>
        <v>0.8</v>
      </c>
      <c r="E22" s="57" t="s">
        <v>12</v>
      </c>
      <c r="F22" s="69">
        <v>1</v>
      </c>
      <c r="G22" s="91">
        <f>BRP_a*can_clk_period</f>
        <v>6.25</v>
      </c>
      <c r="H22" s="58">
        <f>1+$I22+$J22+$K22</f>
        <v>320</v>
      </c>
      <c r="I22" s="69">
        <v>191</v>
      </c>
      <c r="J22" s="69">
        <v>64</v>
      </c>
      <c r="K22" s="69">
        <v>64</v>
      </c>
      <c r="L22" s="69">
        <v>64</v>
      </c>
      <c r="M22" s="78" t="s">
        <v>12</v>
      </c>
      <c r="N22" s="76" t="s">
        <v>12</v>
      </c>
      <c r="O22" s="28"/>
      <c r="P22" s="28"/>
      <c r="Q22" s="28"/>
      <c r="R22" s="85"/>
      <c r="S22" s="86">
        <f>prop_seg_a/bt_a*(1000/bitrate_a)</f>
        <v>1193.75</v>
      </c>
      <c r="T22" s="28" t="str">
        <f>IF(SUM($C22:$N22)=0,"not used",IF(AND((prop_seg_a+ps1_a)&gt;=min_ps1prop_a,(prop_seg_a+ps1_a)&lt;=max_ps1prop_a,ps2_a&gt;=min_ps2_a,ps2_a&lt;=max_ps2_a,sjw_a&lt;=ps1_a,sjw_a&lt;=ps2_a,sjw_a&gt;=min_sjw_a,sjw_a&lt;=max_sjw_a),"OK","ERROR"))</f>
        <v>OK</v>
      </c>
      <c r="U22" s="28"/>
      <c r="V22" s="28"/>
      <c r="W22" s="28"/>
      <c r="X22" s="28"/>
      <c r="Y22" s="28"/>
      <c r="Z22" s="28"/>
      <c r="AA22" s="8"/>
      <c r="AB22" s="19">
        <f>sjw_a/(10*bt_a)/2</f>
        <v>0.01</v>
      </c>
      <c r="AC22" s="19">
        <f>MIN(ps1_a,ps2_a)/(13*bt_a-ps2_a)/2</f>
        <v>7.8125E-3</v>
      </c>
      <c r="AE22" s="20"/>
    </row>
    <row r="23" spans="1:31" ht="14.25">
      <c r="A23" s="96">
        <f t="shared" ref="A23:A34" si="0">1/bitrate_d*1000</f>
        <v>1000</v>
      </c>
      <c r="B23" s="64" t="s">
        <v>58</v>
      </c>
      <c r="C23" s="60">
        <f t="shared" ref="C23:C34" si="1">can_clk_freq/(bt_d*BRP_d)</f>
        <v>1</v>
      </c>
      <c r="D23" s="61">
        <f t="shared" ref="D23:D34" si="2">(prop_seg_d+ps1_d+1)/bt_d</f>
        <v>0.50624999999999998</v>
      </c>
      <c r="E23" s="61">
        <f t="shared" ref="E23:E34" si="3">IF(tdc_d="yes",(ssp_offset_d*can_clk_period*(bitrate_d/1000)),"not avail.")</f>
        <v>0.5</v>
      </c>
      <c r="F23" s="70">
        <v>1</v>
      </c>
      <c r="G23" s="92">
        <f t="shared" ref="G23:G34" si="4">BRP_d*can_clk_period</f>
        <v>6.25</v>
      </c>
      <c r="H23" s="62">
        <f t="shared" ref="H23:H34" si="5">1+prop_seg_d+ps1_d+ps2_d</f>
        <v>160</v>
      </c>
      <c r="I23" s="71">
        <v>0</v>
      </c>
      <c r="J23" s="71">
        <v>80</v>
      </c>
      <c r="K23" s="71">
        <v>79</v>
      </c>
      <c r="L23" s="71">
        <v>79</v>
      </c>
      <c r="M23" s="71" t="s">
        <v>7</v>
      </c>
      <c r="N23" s="77">
        <f>IF(tdc_d="yes",(prop_seg_d+ps1_d+1)*BRP_d-1,"not avail.")</f>
        <v>80</v>
      </c>
      <c r="O23" s="111">
        <v>0</v>
      </c>
      <c r="P23" s="41">
        <v>8</v>
      </c>
      <c r="Q23" s="41">
        <v>24</v>
      </c>
      <c r="R23" s="88">
        <f t="shared" ref="R23:R34" si="6">IF((tdc_d="yes"),((max_ssp_offset_d-ssp_offset_d)*can_clk_period),"--")</f>
        <v>500</v>
      </c>
      <c r="S23" s="89"/>
      <c r="T23" s="28" t="str">
        <f t="shared" ref="T23:T34" si="7">IF(SUM($C23:$N23)=0,"not used",IF(AND((prop_seg_d+ps1_d)&gt;=min_ps1prop_d,(prop_seg_d+ps1_d)&lt;=max_ps1prop_d,ps2_d&gt;=min_ps2_d,ps2_d&lt;=max_ps2_d,sjw_d&lt;=ps1_d,sjw_d&lt;=ps2_d,sjw_d&gt;=min_sjw_d,sjw_d&lt;=max_sjw_d,(prop_seg_d+ps1_d+ps2_d+1)&gt;=min_bt_d,IF(tdc_d="yes",IF(AND(ssp_offset_d&gt;=min_ssp_offset_d,ssp_offset_d&lt;=max_ssp_offset_d,secondary_sp_d&lt;1,BRP_d&gt;=1,BRP_d&lt;=2),TRUE,FALSE),TRUE)),"OK","ERROR"))</f>
        <v>OK</v>
      </c>
      <c r="U23" s="87">
        <f t="shared" ref="U23:U34" si="8">MIN(df_rule1, df_rule2, AD23)</f>
        <v>7.8125E-3</v>
      </c>
      <c r="V23" s="86">
        <f t="shared" ref="V23:V34" si="9">IF(df_used&lt;=df_allowed, (((S_Stuff+1)*bt_d-ps2_d-1)/(1+df_used)-S_Stuff*bt_d/(1-df_used))*BRP_d*can_clk_period, "df_used too large")</f>
        <v>455.00182000727989</v>
      </c>
      <c r="W23" s="86">
        <f t="shared" ref="W23:W34" si="10">IF(df_used&lt;=df_allowed,(S_Stuff*bt_d/(1+df_used)-(S_Stuff*bt_d-ps2_d)/(1-df_used))*BRP_d*can_clk_period,"df_used too large")</f>
        <v>450.73930295721141</v>
      </c>
      <c r="X23" s="41">
        <f t="shared" ref="X23:X34" si="11">_pm1-A1_total</f>
        <v>441.60182000727991</v>
      </c>
      <c r="Y23" s="41">
        <f t="shared" ref="Y23:Y34" si="12">_pm2-A2_total</f>
        <v>437.33930295721143</v>
      </c>
      <c r="Z23" s="41" t="str">
        <f t="shared" ref="Z23:Z34" si="13">IF(OR(_sm1&lt;0,_sm2&lt;0),"ERROR","OK")</f>
        <v>OK</v>
      </c>
      <c r="AA23" s="8" t="str">
        <f t="shared" ref="AA23:AA34" si="14">IF((tdc_d &lt;&gt; "yes"),IF((bitrate_d &gt;1),"ERROR, TDC is mandatory",""),"")</f>
        <v/>
      </c>
      <c r="AB23" s="34"/>
      <c r="AC23" s="34"/>
      <c r="AD23" s="21">
        <f t="shared" ref="AD23:AD34" si="15">sjw_d/(2*(2*S_Stuff+1)*bt_d)</f>
        <v>1.0733695652173914E-2</v>
      </c>
      <c r="AE23" s="20"/>
    </row>
    <row r="24" spans="1:31" ht="14.25">
      <c r="A24" s="96">
        <f t="shared" si="0"/>
        <v>500</v>
      </c>
      <c r="B24" s="59"/>
      <c r="C24" s="60">
        <f t="shared" si="1"/>
        <v>2</v>
      </c>
      <c r="D24" s="61">
        <f t="shared" si="2"/>
        <v>0.51249999999999996</v>
      </c>
      <c r="E24" s="61">
        <f>IF(tdc_d="yes",(ssp_offset_d*can_clk_period*(bitrate_d/1000)),"not avail.")</f>
        <v>0.5</v>
      </c>
      <c r="F24" s="70">
        <v>1</v>
      </c>
      <c r="G24" s="92">
        <f>BRP_d*can_clk_period</f>
        <v>6.25</v>
      </c>
      <c r="H24" s="62">
        <f>1+prop_seg_d+ps1_d+ps2_d</f>
        <v>80</v>
      </c>
      <c r="I24" s="71">
        <v>0</v>
      </c>
      <c r="J24" s="71">
        <v>40</v>
      </c>
      <c r="K24" s="71">
        <v>39</v>
      </c>
      <c r="L24" s="71">
        <v>39</v>
      </c>
      <c r="M24" s="71" t="s">
        <v>7</v>
      </c>
      <c r="N24" s="77">
        <f t="shared" ref="N24:N34" si="16">(prop_seg_d+ps1_d+1)*BRP_d-1</f>
        <v>40</v>
      </c>
      <c r="O24" s="111">
        <v>0</v>
      </c>
      <c r="P24" s="41">
        <v>5</v>
      </c>
      <c r="Q24" s="41">
        <v>15</v>
      </c>
      <c r="R24" s="88">
        <f t="shared" si="6"/>
        <v>750</v>
      </c>
      <c r="S24" s="89"/>
      <c r="T24" s="28" t="str">
        <f t="shared" si="7"/>
        <v>OK</v>
      </c>
      <c r="U24" s="87">
        <f t="shared" si="8"/>
        <v>7.8125E-3</v>
      </c>
      <c r="V24" s="86">
        <f t="shared" si="9"/>
        <v>227.50091000363994</v>
      </c>
      <c r="W24" s="86">
        <f t="shared" si="10"/>
        <v>222.2383889535557</v>
      </c>
      <c r="X24" s="41">
        <f t="shared" si="11"/>
        <v>214.10091000363994</v>
      </c>
      <c r="Y24" s="41">
        <f t="shared" si="12"/>
        <v>208.83838895355569</v>
      </c>
      <c r="Z24" s="41" t="str">
        <f t="shared" si="13"/>
        <v>OK</v>
      </c>
      <c r="AA24" s="8" t="str">
        <f t="shared" si="14"/>
        <v/>
      </c>
      <c r="AB24" s="34"/>
      <c r="AC24" s="34"/>
      <c r="AD24" s="21">
        <f t="shared" si="15"/>
        <v>1.0597826086956521E-2</v>
      </c>
      <c r="AE24" s="20"/>
    </row>
    <row r="25" spans="1:31" ht="14.25">
      <c r="A25" s="96">
        <f t="shared" si="0"/>
        <v>200</v>
      </c>
      <c r="B25" s="59"/>
      <c r="C25" s="60">
        <f t="shared" si="1"/>
        <v>5</v>
      </c>
      <c r="D25" s="61">
        <f t="shared" si="2"/>
        <v>0.53125</v>
      </c>
      <c r="E25" s="61">
        <f t="shared" si="3"/>
        <v>0.5</v>
      </c>
      <c r="F25" s="70">
        <v>1</v>
      </c>
      <c r="G25" s="92">
        <f t="shared" si="4"/>
        <v>6.25</v>
      </c>
      <c r="H25" s="62">
        <f t="shared" si="5"/>
        <v>32</v>
      </c>
      <c r="I25" s="71">
        <v>0</v>
      </c>
      <c r="J25" s="71">
        <v>16</v>
      </c>
      <c r="K25" s="71">
        <v>15</v>
      </c>
      <c r="L25" s="71">
        <v>15</v>
      </c>
      <c r="M25" s="71" t="s">
        <v>7</v>
      </c>
      <c r="N25" s="77">
        <f t="shared" si="16"/>
        <v>16</v>
      </c>
      <c r="O25" s="111">
        <f t="shared" ref="O23:O34" si="17">MOD(bt_a,pwms+pwml)</f>
        <v>0</v>
      </c>
      <c r="P25" s="41">
        <f t="shared" ref="P23:P34" si="18">IF(bitrate_d&lt;5,"todo: VBA",ROUNDUP(bt_d/4,0))</f>
        <v>8</v>
      </c>
      <c r="Q25" s="41">
        <f t="shared" ref="Q23:Q34" si="19">IF(bitrate_d&lt;5,"todo: VBA",bt_d-pwms)</f>
        <v>24</v>
      </c>
      <c r="R25" s="88">
        <f t="shared" si="6"/>
        <v>900</v>
      </c>
      <c r="S25" s="89"/>
      <c r="T25" s="28" t="str">
        <f t="shared" si="7"/>
        <v>OK</v>
      </c>
      <c r="U25" s="87">
        <f t="shared" si="8"/>
        <v>7.8125E-3</v>
      </c>
      <c r="V25" s="86">
        <f t="shared" si="9"/>
        <v>91.000364001456191</v>
      </c>
      <c r="W25" s="86">
        <f t="shared" si="10"/>
        <v>85.137840551362132</v>
      </c>
      <c r="X25" s="41">
        <f t="shared" si="11"/>
        <v>77.600364001456185</v>
      </c>
      <c r="Y25" s="41">
        <f t="shared" si="12"/>
        <v>71.737840551362126</v>
      </c>
      <c r="Z25" s="41" t="str">
        <f t="shared" si="13"/>
        <v>OK</v>
      </c>
      <c r="AA25" s="8" t="str">
        <f t="shared" si="14"/>
        <v/>
      </c>
      <c r="AB25" s="34"/>
      <c r="AC25" s="34"/>
      <c r="AD25" s="21">
        <f t="shared" si="15"/>
        <v>1.0190217391304348E-2</v>
      </c>
      <c r="AE25" s="20"/>
    </row>
    <row r="26" spans="1:31" ht="14.25">
      <c r="A26" s="96">
        <f t="shared" si="0"/>
        <v>125</v>
      </c>
      <c r="B26" s="59"/>
      <c r="C26" s="60">
        <f t="shared" si="1"/>
        <v>8</v>
      </c>
      <c r="D26" s="61">
        <f t="shared" si="2"/>
        <v>0.55000000000000004</v>
      </c>
      <c r="E26" s="61">
        <f t="shared" si="3"/>
        <v>0.5</v>
      </c>
      <c r="F26" s="70">
        <v>1</v>
      </c>
      <c r="G26" s="92">
        <f t="shared" si="4"/>
        <v>6.25</v>
      </c>
      <c r="H26" s="62">
        <f t="shared" si="5"/>
        <v>20</v>
      </c>
      <c r="I26" s="71">
        <v>0</v>
      </c>
      <c r="J26" s="71">
        <v>10</v>
      </c>
      <c r="K26" s="71">
        <v>9</v>
      </c>
      <c r="L26" s="71">
        <v>9</v>
      </c>
      <c r="M26" s="71" t="s">
        <v>7</v>
      </c>
      <c r="N26" s="77">
        <f t="shared" si="16"/>
        <v>10</v>
      </c>
      <c r="O26" s="111">
        <f t="shared" si="17"/>
        <v>0</v>
      </c>
      <c r="P26" s="41">
        <f t="shared" si="18"/>
        <v>5</v>
      </c>
      <c r="Q26" s="41">
        <f t="shared" si="19"/>
        <v>15</v>
      </c>
      <c r="R26" s="88">
        <f t="shared" si="6"/>
        <v>937.5</v>
      </c>
      <c r="S26" s="89"/>
      <c r="T26" s="28" t="str">
        <f t="shared" si="7"/>
        <v>OK</v>
      </c>
      <c r="U26" s="87">
        <f t="shared" si="8"/>
        <v>7.8125E-3</v>
      </c>
      <c r="V26" s="86">
        <f t="shared" si="9"/>
        <v>56.875227500909986</v>
      </c>
      <c r="W26" s="86">
        <f t="shared" si="10"/>
        <v>50.86270345081374</v>
      </c>
      <c r="X26" s="41">
        <f t="shared" si="11"/>
        <v>43.475227500909988</v>
      </c>
      <c r="Y26" s="41">
        <f t="shared" si="12"/>
        <v>37.462703450813741</v>
      </c>
      <c r="Z26" s="41" t="str">
        <f t="shared" si="13"/>
        <v>OK</v>
      </c>
      <c r="AA26" s="8" t="str">
        <f t="shared" si="14"/>
        <v/>
      </c>
      <c r="AB26" s="34"/>
      <c r="AC26" s="34"/>
      <c r="AD26" s="21">
        <f t="shared" si="15"/>
        <v>9.7826086956521747E-3</v>
      </c>
      <c r="AE26" s="20"/>
    </row>
    <row r="27" spans="1:31" ht="14.25">
      <c r="A27" s="96">
        <f t="shared" si="0"/>
        <v>100</v>
      </c>
      <c r="B27" s="59"/>
      <c r="C27" s="60">
        <f t="shared" si="1"/>
        <v>10</v>
      </c>
      <c r="D27" s="61">
        <f t="shared" si="2"/>
        <v>0.5625</v>
      </c>
      <c r="E27" s="61">
        <f t="shared" si="3"/>
        <v>0.5</v>
      </c>
      <c r="F27" s="70">
        <v>1</v>
      </c>
      <c r="G27" s="92">
        <f t="shared" si="4"/>
        <v>6.25</v>
      </c>
      <c r="H27" s="62">
        <f t="shared" si="5"/>
        <v>16</v>
      </c>
      <c r="I27" s="71">
        <v>0</v>
      </c>
      <c r="J27" s="71">
        <v>8</v>
      </c>
      <c r="K27" s="71">
        <v>7</v>
      </c>
      <c r="L27" s="71">
        <v>7</v>
      </c>
      <c r="M27" s="71" t="s">
        <v>7</v>
      </c>
      <c r="N27" s="77">
        <f t="shared" si="16"/>
        <v>8</v>
      </c>
      <c r="O27" s="111">
        <f t="shared" si="17"/>
        <v>0</v>
      </c>
      <c r="P27" s="41">
        <f t="shared" si="18"/>
        <v>4</v>
      </c>
      <c r="Q27" s="41">
        <f t="shared" si="19"/>
        <v>12</v>
      </c>
      <c r="R27" s="88">
        <f t="shared" si="6"/>
        <v>950</v>
      </c>
      <c r="S27" s="89"/>
      <c r="T27" s="28" t="str">
        <f t="shared" si="7"/>
        <v>OK</v>
      </c>
      <c r="U27" s="87">
        <f t="shared" si="8"/>
        <v>7.8125E-3</v>
      </c>
      <c r="V27" s="86">
        <f t="shared" si="9"/>
        <v>45.500182000728095</v>
      </c>
      <c r="W27" s="86">
        <f t="shared" si="10"/>
        <v>39.437657750630883</v>
      </c>
      <c r="X27" s="41">
        <f t="shared" si="11"/>
        <v>32.100182000728097</v>
      </c>
      <c r="Y27" s="41">
        <f t="shared" si="12"/>
        <v>26.037657750630885</v>
      </c>
      <c r="Z27" s="41" t="str">
        <f t="shared" si="13"/>
        <v>OK</v>
      </c>
      <c r="AA27" s="8" t="str">
        <f t="shared" si="14"/>
        <v/>
      </c>
      <c r="AB27" s="34"/>
      <c r="AC27" s="34"/>
      <c r="AD27" s="21">
        <f t="shared" si="15"/>
        <v>9.5108695652173919E-3</v>
      </c>
      <c r="AE27" s="20"/>
    </row>
    <row r="28" spans="1:31" ht="14.25">
      <c r="A28" s="96">
        <f t="shared" si="0"/>
        <v>81.249999999999986</v>
      </c>
      <c r="B28" s="59"/>
      <c r="C28" s="60">
        <f t="shared" si="1"/>
        <v>12.307692307692308</v>
      </c>
      <c r="D28" s="61">
        <f t="shared" si="2"/>
        <v>0.53846153846153844</v>
      </c>
      <c r="E28" s="61">
        <f t="shared" si="3"/>
        <v>0.46153846153846156</v>
      </c>
      <c r="F28" s="70">
        <v>1</v>
      </c>
      <c r="G28" s="92">
        <f t="shared" si="4"/>
        <v>6.25</v>
      </c>
      <c r="H28" s="62">
        <f t="shared" si="5"/>
        <v>13</v>
      </c>
      <c r="I28" s="71">
        <v>0</v>
      </c>
      <c r="J28" s="71">
        <v>6</v>
      </c>
      <c r="K28" s="71">
        <v>6</v>
      </c>
      <c r="L28" s="71">
        <v>6</v>
      </c>
      <c r="M28" s="71" t="s">
        <v>7</v>
      </c>
      <c r="N28" s="77">
        <f t="shared" si="16"/>
        <v>6</v>
      </c>
      <c r="O28" s="111">
        <f t="shared" si="17"/>
        <v>8</v>
      </c>
      <c r="P28" s="41">
        <f t="shared" si="18"/>
        <v>4</v>
      </c>
      <c r="Q28" s="41">
        <f t="shared" si="19"/>
        <v>9</v>
      </c>
      <c r="R28" s="88">
        <f t="shared" si="6"/>
        <v>962.5</v>
      </c>
      <c r="S28" s="89"/>
      <c r="T28" s="28" t="str">
        <f t="shared" si="7"/>
        <v>OK</v>
      </c>
      <c r="U28" s="87">
        <f t="shared" si="8"/>
        <v>7.8125E-3</v>
      </c>
      <c r="V28" s="86">
        <f t="shared" si="9"/>
        <v>33.850135400541603</v>
      </c>
      <c r="W28" s="86">
        <f t="shared" si="10"/>
        <v>34.000136000543968</v>
      </c>
      <c r="X28" s="41">
        <f t="shared" si="11"/>
        <v>20.450135400541605</v>
      </c>
      <c r="Y28" s="41">
        <f t="shared" si="12"/>
        <v>20.600136000543969</v>
      </c>
      <c r="Z28" s="41" t="str">
        <f t="shared" si="13"/>
        <v>OK</v>
      </c>
      <c r="AA28" s="8" t="str">
        <f t="shared" si="14"/>
        <v/>
      </c>
      <c r="AB28" s="34"/>
      <c r="AC28" s="34"/>
      <c r="AD28" s="21">
        <f t="shared" si="15"/>
        <v>1.0033444816053512E-2</v>
      </c>
      <c r="AE28" s="20"/>
    </row>
    <row r="29" spans="1:31" ht="14.25">
      <c r="A29" s="96">
        <f t="shared" si="0"/>
        <v>75</v>
      </c>
      <c r="B29" s="59"/>
      <c r="C29" s="60">
        <f t="shared" si="1"/>
        <v>13.333333333333334</v>
      </c>
      <c r="D29" s="61">
        <f t="shared" si="2"/>
        <v>0.58333333333333337</v>
      </c>
      <c r="E29" s="61">
        <f t="shared" si="3"/>
        <v>0.5</v>
      </c>
      <c r="F29" s="70">
        <v>1</v>
      </c>
      <c r="G29" s="92">
        <f t="shared" si="4"/>
        <v>6.25</v>
      </c>
      <c r="H29" s="62">
        <f t="shared" si="5"/>
        <v>12</v>
      </c>
      <c r="I29" s="71">
        <v>0</v>
      </c>
      <c r="J29" s="71">
        <v>6</v>
      </c>
      <c r="K29" s="71">
        <v>5</v>
      </c>
      <c r="L29" s="71">
        <v>5</v>
      </c>
      <c r="M29" s="71" t="s">
        <v>7</v>
      </c>
      <c r="N29" s="77">
        <f t="shared" si="16"/>
        <v>6</v>
      </c>
      <c r="O29" s="111">
        <f t="shared" si="17"/>
        <v>8</v>
      </c>
      <c r="P29" s="41">
        <f t="shared" si="18"/>
        <v>3</v>
      </c>
      <c r="Q29" s="41">
        <f t="shared" si="19"/>
        <v>9</v>
      </c>
      <c r="R29" s="88">
        <f t="shared" si="6"/>
        <v>962.5</v>
      </c>
      <c r="S29" s="89"/>
      <c r="T29" s="28" t="str">
        <f t="shared" si="7"/>
        <v>OK</v>
      </c>
      <c r="U29" s="87">
        <f t="shared" si="8"/>
        <v>7.8125E-3</v>
      </c>
      <c r="V29" s="86">
        <f t="shared" si="9"/>
        <v>34.125136500546027</v>
      </c>
      <c r="W29" s="86">
        <f t="shared" si="10"/>
        <v>28.012612050448116</v>
      </c>
      <c r="X29" s="41">
        <f t="shared" si="11"/>
        <v>20.725136500546029</v>
      </c>
      <c r="Y29" s="41">
        <f t="shared" si="12"/>
        <v>14.612612050448115</v>
      </c>
      <c r="Z29" s="41" t="str">
        <f t="shared" si="13"/>
        <v>OK</v>
      </c>
      <c r="AA29" s="8" t="str">
        <f t="shared" si="14"/>
        <v/>
      </c>
      <c r="AB29" s="34"/>
      <c r="AC29" s="34"/>
      <c r="AD29" s="21">
        <f t="shared" si="15"/>
        <v>9.057971014492754E-3</v>
      </c>
      <c r="AE29" s="20"/>
    </row>
    <row r="30" spans="1:31" ht="14.25">
      <c r="A30" s="96">
        <f t="shared" si="0"/>
        <v>68.75</v>
      </c>
      <c r="B30" s="59"/>
      <c r="C30" s="60">
        <f t="shared" si="1"/>
        <v>14.545454545454545</v>
      </c>
      <c r="D30" s="61">
        <f t="shared" si="2"/>
        <v>0.54545454545454541</v>
      </c>
      <c r="E30" s="61">
        <f t="shared" si="3"/>
        <v>0.45454545454545453</v>
      </c>
      <c r="F30" s="70">
        <v>1</v>
      </c>
      <c r="G30" s="92">
        <f t="shared" si="4"/>
        <v>6.25</v>
      </c>
      <c r="H30" s="62">
        <f t="shared" si="5"/>
        <v>11</v>
      </c>
      <c r="I30" s="71">
        <v>0</v>
      </c>
      <c r="J30" s="71">
        <v>5</v>
      </c>
      <c r="K30" s="71">
        <v>5</v>
      </c>
      <c r="L30" s="71">
        <v>5</v>
      </c>
      <c r="M30" s="71" t="s">
        <v>7</v>
      </c>
      <c r="N30" s="77">
        <f t="shared" si="16"/>
        <v>5</v>
      </c>
      <c r="O30" s="111">
        <f t="shared" si="17"/>
        <v>1</v>
      </c>
      <c r="P30" s="41">
        <f t="shared" si="18"/>
        <v>3</v>
      </c>
      <c r="Q30" s="41">
        <f t="shared" si="19"/>
        <v>8</v>
      </c>
      <c r="R30" s="88">
        <f t="shared" si="6"/>
        <v>968.75</v>
      </c>
      <c r="S30" s="89"/>
      <c r="T30" s="28" t="str">
        <f t="shared" si="7"/>
        <v>OK</v>
      </c>
      <c r="U30" s="87">
        <f t="shared" si="8"/>
        <v>7.8125E-3</v>
      </c>
      <c r="V30" s="86">
        <f t="shared" si="9"/>
        <v>28.162612650450569</v>
      </c>
      <c r="W30" s="86">
        <f t="shared" si="10"/>
        <v>28.287613150452628</v>
      </c>
      <c r="X30" s="41">
        <f t="shared" si="11"/>
        <v>14.762612650450569</v>
      </c>
      <c r="Y30" s="41">
        <f t="shared" si="12"/>
        <v>14.887613150452628</v>
      </c>
      <c r="Z30" s="41" t="str">
        <f t="shared" si="13"/>
        <v>OK</v>
      </c>
      <c r="AA30" s="8" t="str">
        <f t="shared" si="14"/>
        <v/>
      </c>
      <c r="AB30" s="34"/>
      <c r="AC30" s="34"/>
      <c r="AD30" s="21">
        <f t="shared" si="15"/>
        <v>9.881422924901186E-3</v>
      </c>
      <c r="AE30" s="20"/>
    </row>
    <row r="31" spans="1:31" ht="14.25">
      <c r="A31" s="96">
        <f t="shared" si="0"/>
        <v>62.5</v>
      </c>
      <c r="B31" s="59"/>
      <c r="C31" s="60">
        <f t="shared" si="1"/>
        <v>16</v>
      </c>
      <c r="D31" s="61">
        <f t="shared" si="2"/>
        <v>0.6</v>
      </c>
      <c r="E31" s="61">
        <f t="shared" si="3"/>
        <v>0.5</v>
      </c>
      <c r="F31" s="70">
        <v>1</v>
      </c>
      <c r="G31" s="92">
        <f t="shared" si="4"/>
        <v>6.25</v>
      </c>
      <c r="H31" s="62">
        <f t="shared" si="5"/>
        <v>10</v>
      </c>
      <c r="I31" s="71">
        <v>0</v>
      </c>
      <c r="J31" s="71">
        <v>5</v>
      </c>
      <c r="K31" s="71">
        <v>4</v>
      </c>
      <c r="L31" s="71">
        <v>4</v>
      </c>
      <c r="M31" s="71" t="s">
        <v>7</v>
      </c>
      <c r="N31" s="77">
        <f t="shared" si="16"/>
        <v>5</v>
      </c>
      <c r="O31" s="111">
        <f t="shared" si="17"/>
        <v>0</v>
      </c>
      <c r="P31" s="41">
        <f t="shared" si="18"/>
        <v>3</v>
      </c>
      <c r="Q31" s="41">
        <f t="shared" si="19"/>
        <v>7</v>
      </c>
      <c r="R31" s="88">
        <f t="shared" si="6"/>
        <v>968.75</v>
      </c>
      <c r="S31" s="89"/>
      <c r="T31" s="28" t="str">
        <f t="shared" si="7"/>
        <v>OK</v>
      </c>
      <c r="U31" s="87">
        <f t="shared" si="8"/>
        <v>7.8125E-3</v>
      </c>
      <c r="V31" s="86">
        <f t="shared" si="9"/>
        <v>28.437613750454993</v>
      </c>
      <c r="W31" s="86">
        <f t="shared" si="10"/>
        <v>22.300089200356776</v>
      </c>
      <c r="X31" s="41">
        <f t="shared" si="11"/>
        <v>15.037613750454993</v>
      </c>
      <c r="Y31" s="41">
        <f t="shared" si="12"/>
        <v>8.900089200356776</v>
      </c>
      <c r="Z31" s="41" t="str">
        <f t="shared" si="13"/>
        <v>OK</v>
      </c>
      <c r="AA31" s="8" t="str">
        <f t="shared" si="14"/>
        <v/>
      </c>
      <c r="AB31" s="34"/>
      <c r="AC31" s="34"/>
      <c r="AD31" s="21">
        <f t="shared" si="15"/>
        <v>8.6956521739130436E-3</v>
      </c>
      <c r="AE31" s="20"/>
    </row>
    <row r="32" spans="1:31" ht="14.25">
      <c r="A32" s="96">
        <f t="shared" si="0"/>
        <v>56.249999999999993</v>
      </c>
      <c r="B32" s="59"/>
      <c r="C32" s="60">
        <f t="shared" si="1"/>
        <v>17.777777777777779</v>
      </c>
      <c r="D32" s="61">
        <f t="shared" si="2"/>
        <v>0.55555555555555558</v>
      </c>
      <c r="E32" s="61">
        <f t="shared" si="3"/>
        <v>0.44444444444444442</v>
      </c>
      <c r="F32" s="70">
        <v>1</v>
      </c>
      <c r="G32" s="92">
        <f t="shared" si="4"/>
        <v>6.25</v>
      </c>
      <c r="H32" s="62">
        <f t="shared" si="5"/>
        <v>9</v>
      </c>
      <c r="I32" s="71">
        <v>0</v>
      </c>
      <c r="J32" s="71">
        <v>4</v>
      </c>
      <c r="K32" s="71">
        <v>4</v>
      </c>
      <c r="L32" s="71">
        <v>4</v>
      </c>
      <c r="M32" s="71" t="s">
        <v>7</v>
      </c>
      <c r="N32" s="77">
        <f t="shared" si="16"/>
        <v>4</v>
      </c>
      <c r="O32" s="111">
        <f t="shared" si="17"/>
        <v>5</v>
      </c>
      <c r="P32" s="41">
        <f t="shared" si="18"/>
        <v>3</v>
      </c>
      <c r="Q32" s="41">
        <f t="shared" si="19"/>
        <v>6</v>
      </c>
      <c r="R32" s="88">
        <f t="shared" si="6"/>
        <v>975</v>
      </c>
      <c r="S32" s="89"/>
      <c r="T32" s="28" t="str">
        <f t="shared" si="7"/>
        <v>OK</v>
      </c>
      <c r="U32" s="87">
        <f t="shared" si="8"/>
        <v>7.8125E-3</v>
      </c>
      <c r="V32" s="86">
        <f t="shared" si="9"/>
        <v>22.475089900359535</v>
      </c>
      <c r="W32" s="86">
        <f t="shared" si="10"/>
        <v>22.5750903003612</v>
      </c>
      <c r="X32" s="41">
        <f t="shared" si="11"/>
        <v>9.0750899003595347</v>
      </c>
      <c r="Y32" s="41">
        <f t="shared" si="12"/>
        <v>9.1750903003611999</v>
      </c>
      <c r="Z32" s="41" t="str">
        <f t="shared" si="13"/>
        <v>OK</v>
      </c>
      <c r="AA32" s="8" t="str">
        <f t="shared" si="14"/>
        <v/>
      </c>
      <c r="AB32" s="34"/>
      <c r="AC32" s="34"/>
      <c r="AD32" s="21">
        <f t="shared" si="15"/>
        <v>9.6618357487922701E-3</v>
      </c>
      <c r="AE32" s="20"/>
    </row>
    <row r="33" spans="1:31" ht="14.25">
      <c r="A33" s="96">
        <f t="shared" si="0"/>
        <v>50</v>
      </c>
      <c r="B33" s="59"/>
      <c r="C33" s="60">
        <f t="shared" si="1"/>
        <v>20</v>
      </c>
      <c r="D33" s="61">
        <f t="shared" si="2"/>
        <v>0.625</v>
      </c>
      <c r="E33" s="61">
        <f t="shared" si="3"/>
        <v>0.5</v>
      </c>
      <c r="F33" s="70">
        <v>1</v>
      </c>
      <c r="G33" s="92">
        <f t="shared" si="4"/>
        <v>6.25</v>
      </c>
      <c r="H33" s="62">
        <f t="shared" si="5"/>
        <v>8</v>
      </c>
      <c r="I33" s="71">
        <v>0</v>
      </c>
      <c r="J33" s="71">
        <v>4</v>
      </c>
      <c r="K33" s="71">
        <v>3</v>
      </c>
      <c r="L33" s="71">
        <v>3</v>
      </c>
      <c r="M33" s="71" t="s">
        <v>7</v>
      </c>
      <c r="N33" s="77">
        <f t="shared" si="16"/>
        <v>4</v>
      </c>
      <c r="O33" s="111">
        <f t="shared" si="17"/>
        <v>0</v>
      </c>
      <c r="P33" s="41">
        <f t="shared" si="18"/>
        <v>2</v>
      </c>
      <c r="Q33" s="41">
        <f t="shared" si="19"/>
        <v>6</v>
      </c>
      <c r="R33" s="88">
        <f t="shared" si="6"/>
        <v>975</v>
      </c>
      <c r="S33" s="89"/>
      <c r="T33" s="28" t="str">
        <f t="shared" si="7"/>
        <v>OK</v>
      </c>
      <c r="U33" s="87">
        <f t="shared" si="8"/>
        <v>7.8125E-3</v>
      </c>
      <c r="V33" s="86">
        <f t="shared" si="9"/>
        <v>22.750091000364048</v>
      </c>
      <c r="W33" s="86">
        <f t="shared" si="10"/>
        <v>16.587566350265348</v>
      </c>
      <c r="X33" s="41">
        <f t="shared" si="11"/>
        <v>9.3500910003640474</v>
      </c>
      <c r="Y33" s="41">
        <f t="shared" si="12"/>
        <v>3.1875663502653477</v>
      </c>
      <c r="Z33" s="41" t="str">
        <f t="shared" si="13"/>
        <v>OK</v>
      </c>
      <c r="AA33" s="8" t="str">
        <f t="shared" si="14"/>
        <v/>
      </c>
      <c r="AB33" s="34"/>
      <c r="AC33" s="34"/>
      <c r="AD33" s="21">
        <f t="shared" si="15"/>
        <v>8.152173913043478E-3</v>
      </c>
      <c r="AE33" s="20"/>
    </row>
    <row r="34" spans="1:31" ht="14.25">
      <c r="A34" s="96">
        <f t="shared" si="0"/>
        <v>50</v>
      </c>
      <c r="B34" s="59"/>
      <c r="C34" s="60">
        <f t="shared" si="1"/>
        <v>20</v>
      </c>
      <c r="D34" s="61">
        <f t="shared" si="2"/>
        <v>0.625</v>
      </c>
      <c r="E34" s="61">
        <f t="shared" si="3"/>
        <v>0.5</v>
      </c>
      <c r="F34" s="70">
        <v>1</v>
      </c>
      <c r="G34" s="92">
        <f t="shared" si="4"/>
        <v>6.25</v>
      </c>
      <c r="H34" s="62">
        <f t="shared" si="5"/>
        <v>8</v>
      </c>
      <c r="I34" s="71">
        <v>0</v>
      </c>
      <c r="J34" s="71">
        <v>4</v>
      </c>
      <c r="K34" s="71">
        <v>3</v>
      </c>
      <c r="L34" s="71">
        <v>3</v>
      </c>
      <c r="M34" s="71" t="s">
        <v>7</v>
      </c>
      <c r="N34" s="77">
        <f t="shared" si="16"/>
        <v>4</v>
      </c>
      <c r="O34" s="111">
        <f t="shared" si="17"/>
        <v>0</v>
      </c>
      <c r="P34" s="41">
        <f t="shared" si="18"/>
        <v>2</v>
      </c>
      <c r="Q34" s="41">
        <f t="shared" si="19"/>
        <v>6</v>
      </c>
      <c r="R34" s="88">
        <f t="shared" si="6"/>
        <v>975</v>
      </c>
      <c r="S34" s="89"/>
      <c r="T34" s="28" t="str">
        <f t="shared" si="7"/>
        <v>OK</v>
      </c>
      <c r="U34" s="87">
        <f t="shared" si="8"/>
        <v>7.8125E-3</v>
      </c>
      <c r="V34" s="86">
        <f t="shared" si="9"/>
        <v>22.750091000364048</v>
      </c>
      <c r="W34" s="86">
        <f t="shared" si="10"/>
        <v>16.587566350265348</v>
      </c>
      <c r="X34" s="41">
        <f t="shared" si="11"/>
        <v>9.3500910003640474</v>
      </c>
      <c r="Y34" s="41">
        <f t="shared" si="12"/>
        <v>3.1875663502653477</v>
      </c>
      <c r="Z34" s="41" t="str">
        <f t="shared" si="13"/>
        <v>OK</v>
      </c>
      <c r="AA34" s="8" t="str">
        <f t="shared" si="14"/>
        <v/>
      </c>
      <c r="AB34" s="34"/>
      <c r="AC34" s="34"/>
      <c r="AD34" s="21">
        <f t="shared" si="15"/>
        <v>8.152173913043478E-3</v>
      </c>
      <c r="AE34" s="20"/>
    </row>
    <row r="36" spans="1:31" ht="14.25">
      <c r="B36" s="33"/>
      <c r="C36" s="22"/>
      <c r="O36" s="8"/>
      <c r="P36" s="8"/>
      <c r="Q36" s="8"/>
      <c r="T36" s="8"/>
      <c r="U36" s="8"/>
      <c r="V36" s="8"/>
      <c r="W36" s="8"/>
      <c r="X36" s="8"/>
      <c r="Y36" s="8"/>
      <c r="Z36" s="8"/>
    </row>
    <row r="37" spans="1:31" ht="14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8"/>
      <c r="P37" s="8"/>
      <c r="Q37" s="8"/>
      <c r="R37" s="22"/>
      <c r="T37" s="8"/>
      <c r="U37" s="8"/>
      <c r="V37" s="8"/>
      <c r="W37" s="8"/>
      <c r="X37" s="8"/>
      <c r="Y37" s="8"/>
      <c r="Z37" s="8"/>
    </row>
    <row r="38" spans="1:31" ht="14.25">
      <c r="B38" s="33" t="s">
        <v>71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8"/>
      <c r="P38" s="8"/>
      <c r="Q38" s="8"/>
      <c r="R38" s="22"/>
      <c r="T38" s="8"/>
      <c r="U38" s="8"/>
      <c r="V38" s="8"/>
      <c r="W38" s="8"/>
      <c r="X38" s="8"/>
      <c r="Y38" s="8"/>
      <c r="Z38" s="8"/>
    </row>
    <row r="39" spans="1:31" ht="14.25">
      <c r="C39" s="22"/>
      <c r="D39" s="143" t="s">
        <v>72</v>
      </c>
      <c r="E39" s="143"/>
      <c r="F39" s="22"/>
      <c r="G39" s="22"/>
      <c r="H39" s="143"/>
      <c r="I39" s="143"/>
      <c r="J39" s="22"/>
      <c r="K39" s="22"/>
      <c r="L39" s="22"/>
      <c r="M39" s="22"/>
      <c r="N39" s="22"/>
      <c r="O39" s="8"/>
      <c r="P39" s="8"/>
      <c r="Q39" s="8"/>
      <c r="R39" s="22"/>
      <c r="T39" s="8"/>
      <c r="U39" s="8"/>
      <c r="V39" s="8"/>
      <c r="W39" s="8"/>
      <c r="X39" s="8"/>
      <c r="Y39" s="8"/>
      <c r="Z39" s="8"/>
    </row>
    <row r="40" spans="1:31">
      <c r="B40" s="39" t="s">
        <v>29</v>
      </c>
      <c r="C40" s="40"/>
      <c r="D40" s="42" t="s">
        <v>26</v>
      </c>
      <c r="E40" s="42" t="s">
        <v>27</v>
      </c>
      <c r="F40" s="45"/>
      <c r="G40" s="45" t="s">
        <v>38</v>
      </c>
      <c r="H40" s="45"/>
      <c r="I40" s="45"/>
      <c r="J40" s="45"/>
      <c r="K40" s="46"/>
      <c r="L40" s="46" t="s">
        <v>39</v>
      </c>
      <c r="M40" s="46"/>
      <c r="N40" s="46"/>
      <c r="O40" s="112"/>
      <c r="P40" s="112"/>
      <c r="Q40" s="112"/>
      <c r="R40" s="46"/>
      <c r="S40" s="46"/>
      <c r="T40" s="46"/>
      <c r="U40" s="46"/>
      <c r="V40" s="46"/>
      <c r="W40" s="46"/>
      <c r="X40" s="46"/>
      <c r="Y40" s="46"/>
      <c r="Z40" s="46"/>
      <c r="AA40" s="79"/>
      <c r="AB40" s="79"/>
      <c r="AC40" s="79"/>
      <c r="AD40" s="79"/>
    </row>
    <row r="41" spans="1:31" ht="14.25">
      <c r="B41" s="30" t="s">
        <v>28</v>
      </c>
      <c r="C41" s="93" t="s">
        <v>107</v>
      </c>
      <c r="D41" s="95">
        <f>IF(TC_type="FD2",A1_FD2,IF(TC_type="FD5",A1_FD5,IF(TC_type="SIC",A1_SIC,IF(TC_type="SIC XL",A1_XL,"error"))))</f>
        <v>10</v>
      </c>
      <c r="E41" s="95">
        <f>IF(TC_type="FD2",A2_FD2,IF(TC_type="FD5",A2_FD5,IF(TC_type="SIC",A2_SIC,IF(TC_type="SIC XL",A2_XL,"error"))))</f>
        <v>10</v>
      </c>
      <c r="F41" s="65"/>
      <c r="G41" s="65" t="s">
        <v>85</v>
      </c>
      <c r="H41" s="65"/>
      <c r="I41" s="65"/>
      <c r="J41" s="65"/>
      <c r="K41" s="65"/>
      <c r="L41" t="s">
        <v>73</v>
      </c>
      <c r="O41" s="8"/>
      <c r="P41" s="8"/>
      <c r="Q41" s="8"/>
      <c r="T41" s="8"/>
      <c r="U41" s="8"/>
      <c r="W41" s="8"/>
      <c r="X41" s="8"/>
      <c r="Y41" s="8"/>
      <c r="Z41" s="8"/>
    </row>
    <row r="42" spans="1:31" ht="14.25">
      <c r="B42" s="30" t="s">
        <v>31</v>
      </c>
      <c r="C42" s="22"/>
      <c r="D42" s="97">
        <v>0</v>
      </c>
      <c r="E42" s="97">
        <v>0</v>
      </c>
      <c r="F42" s="31"/>
      <c r="G42" s="65" t="s">
        <v>52</v>
      </c>
      <c r="H42" s="65"/>
      <c r="I42" s="65"/>
      <c r="J42" s="80"/>
      <c r="K42" s="65"/>
      <c r="L42" t="s">
        <v>73</v>
      </c>
      <c r="O42" s="8"/>
      <c r="P42" s="8"/>
      <c r="Q42" s="8"/>
      <c r="T42" s="8"/>
      <c r="U42" s="8"/>
      <c r="W42" s="8"/>
      <c r="X42" s="8"/>
      <c r="Y42" s="8"/>
      <c r="Z42" s="8"/>
    </row>
    <row r="43" spans="1:31" ht="14.25">
      <c r="B43" s="31" t="s">
        <v>49</v>
      </c>
      <c r="C43" s="38"/>
      <c r="D43" s="97">
        <v>2</v>
      </c>
      <c r="E43" s="97">
        <v>2</v>
      </c>
      <c r="F43" s="31"/>
      <c r="G43" s="65" t="s">
        <v>52</v>
      </c>
      <c r="H43" s="65"/>
      <c r="I43" s="65"/>
      <c r="J43" s="80"/>
      <c r="K43" s="65"/>
      <c r="L43" t="s">
        <v>74</v>
      </c>
      <c r="O43" s="8"/>
      <c r="P43" s="8"/>
      <c r="Q43" s="8"/>
      <c r="T43" s="8"/>
      <c r="U43" s="8"/>
      <c r="W43" s="8"/>
      <c r="X43" s="8"/>
      <c r="Y43" s="8"/>
      <c r="Z43" s="8"/>
    </row>
    <row r="44" spans="1:31" ht="14.25">
      <c r="B44" s="30" t="s">
        <v>48</v>
      </c>
      <c r="C44" s="22"/>
      <c r="D44" s="97">
        <v>0</v>
      </c>
      <c r="E44" s="97">
        <v>0</v>
      </c>
      <c r="F44" s="31"/>
      <c r="G44" s="65" t="s">
        <v>106</v>
      </c>
      <c r="H44" s="65"/>
      <c r="I44" s="65"/>
      <c r="J44" s="80"/>
      <c r="K44" s="65"/>
      <c r="L44" t="s">
        <v>73</v>
      </c>
      <c r="O44" s="8"/>
      <c r="P44" s="8"/>
      <c r="Q44" s="8"/>
      <c r="T44" s="8"/>
      <c r="U44" s="8"/>
      <c r="W44" s="8"/>
      <c r="X44" s="8"/>
      <c r="Y44" s="8"/>
      <c r="Z44" s="8"/>
    </row>
    <row r="45" spans="1:31" ht="14.25">
      <c r="B45" s="31" t="s">
        <v>33</v>
      </c>
      <c r="C45" s="22"/>
      <c r="D45" s="97">
        <v>0</v>
      </c>
      <c r="E45" s="97">
        <v>0</v>
      </c>
      <c r="F45" s="65"/>
      <c r="G45" s="65" t="s">
        <v>87</v>
      </c>
      <c r="H45" s="65"/>
      <c r="I45" s="65"/>
      <c r="J45" s="65"/>
      <c r="K45" s="65"/>
      <c r="L45" t="s">
        <v>73</v>
      </c>
      <c r="O45" s="8"/>
      <c r="P45" s="8"/>
      <c r="Q45" s="8"/>
      <c r="T45" s="8"/>
      <c r="U45" s="8"/>
      <c r="W45" s="8"/>
      <c r="X45" s="8"/>
      <c r="Y45" s="8"/>
      <c r="Z45" s="8"/>
    </row>
    <row r="46" spans="1:31" ht="14.25">
      <c r="B46" s="31" t="s">
        <v>32</v>
      </c>
      <c r="C46" s="22"/>
      <c r="D46" s="101">
        <f>2*jitter/1000</f>
        <v>1.4</v>
      </c>
      <c r="E46" s="101">
        <f>2*jitter/1000</f>
        <v>1.4</v>
      </c>
      <c r="F46" s="65"/>
      <c r="G46" s="100" t="s">
        <v>112</v>
      </c>
      <c r="H46" s="65"/>
      <c r="I46" s="65"/>
      <c r="J46" s="65"/>
      <c r="K46" s="65"/>
      <c r="L46" t="s">
        <v>40</v>
      </c>
      <c r="O46" s="8"/>
      <c r="P46" s="8"/>
      <c r="Q46" s="8"/>
      <c r="W46" s="8"/>
      <c r="X46" s="8"/>
      <c r="Y46" s="8"/>
      <c r="Z46" s="8"/>
    </row>
    <row r="47" spans="1:31" ht="14.25">
      <c r="B47" s="31" t="s">
        <v>35</v>
      </c>
      <c r="C47" s="38"/>
      <c r="D47" s="97">
        <v>0</v>
      </c>
      <c r="E47" s="97">
        <v>0</v>
      </c>
      <c r="F47" s="73"/>
      <c r="G47" s="73" t="s">
        <v>98</v>
      </c>
      <c r="H47" s="74"/>
      <c r="I47" s="74"/>
      <c r="J47" s="38"/>
      <c r="K47" s="31"/>
      <c r="L47" s="38"/>
      <c r="M47" s="38"/>
      <c r="N47" s="22"/>
      <c r="O47" s="8"/>
      <c r="P47" s="8"/>
      <c r="Q47" s="8"/>
      <c r="R47" s="22"/>
      <c r="T47" s="8"/>
      <c r="U47" s="8"/>
      <c r="V47" s="8"/>
      <c r="W47" s="8"/>
      <c r="X47" s="8"/>
      <c r="Y47" s="8"/>
      <c r="Z47" s="8"/>
    </row>
    <row r="48" spans="1:31" ht="14.25">
      <c r="B48" s="31" t="s">
        <v>50</v>
      </c>
      <c r="C48" s="38"/>
      <c r="D48" s="97">
        <v>0</v>
      </c>
      <c r="E48" s="97">
        <v>0</v>
      </c>
      <c r="F48" s="73"/>
      <c r="G48" s="73"/>
      <c r="H48" s="72"/>
      <c r="I48" s="72"/>
      <c r="J48" s="38"/>
      <c r="K48" s="31"/>
      <c r="L48" s="38"/>
      <c r="M48" s="38"/>
      <c r="N48" s="22"/>
      <c r="O48" s="8"/>
      <c r="P48" s="8"/>
      <c r="Q48" s="8"/>
      <c r="R48" s="22"/>
      <c r="T48" s="8"/>
      <c r="U48" s="8"/>
      <c r="V48" s="8"/>
      <c r="W48" s="8"/>
      <c r="X48" s="8"/>
      <c r="Y48" s="8"/>
      <c r="Z48" s="8"/>
    </row>
    <row r="49" spans="2:30" ht="14.25">
      <c r="B49" s="52" t="s">
        <v>34</v>
      </c>
      <c r="C49" s="52"/>
      <c r="D49" s="53">
        <f>SUM(D$41:D$48)</f>
        <v>13.4</v>
      </c>
      <c r="E49" s="53">
        <f>SUM(E$41:E$48)</f>
        <v>13.4</v>
      </c>
      <c r="F49" s="84"/>
      <c r="G49" s="84"/>
      <c r="H49" s="84"/>
      <c r="I49" s="84"/>
      <c r="J49" s="84"/>
      <c r="K49" s="38"/>
      <c r="L49" s="38"/>
      <c r="M49" s="38"/>
      <c r="N49" s="22"/>
      <c r="O49" s="8"/>
      <c r="P49" s="8"/>
      <c r="Q49" s="8"/>
      <c r="R49" s="22"/>
      <c r="T49" s="8"/>
      <c r="U49" s="8"/>
      <c r="V49" s="8"/>
      <c r="W49" s="8"/>
      <c r="X49" s="8"/>
      <c r="Y49" s="8"/>
      <c r="Z49" s="8"/>
    </row>
    <row r="50" spans="2:30" ht="14.25">
      <c r="B50" s="37"/>
      <c r="C50" s="37"/>
      <c r="D50" s="44"/>
      <c r="E50" s="44"/>
      <c r="F50" s="38"/>
      <c r="G50" s="38"/>
      <c r="H50" s="47"/>
      <c r="I50" s="47"/>
      <c r="J50" s="38"/>
      <c r="K50" s="38"/>
      <c r="L50" s="38"/>
      <c r="M50" s="38"/>
      <c r="N50" s="22"/>
      <c r="O50" s="8"/>
      <c r="P50" s="8"/>
      <c r="Q50" s="8"/>
      <c r="R50" s="22"/>
      <c r="T50" s="8"/>
      <c r="U50" s="8"/>
      <c r="V50" s="8"/>
      <c r="W50" s="8"/>
      <c r="X50" s="8"/>
      <c r="Y50" s="8"/>
      <c r="Z50" s="8"/>
    </row>
    <row r="51" spans="2:30" ht="14.25">
      <c r="B51" s="31"/>
      <c r="C51" s="22"/>
      <c r="D51" s="43"/>
      <c r="E51" s="43"/>
      <c r="F51" s="22"/>
      <c r="G51" s="22"/>
      <c r="H51" s="22"/>
      <c r="I51" s="22"/>
      <c r="J51" s="22"/>
      <c r="K51" s="22"/>
      <c r="L51" s="22"/>
      <c r="M51" s="22"/>
      <c r="N51" s="22"/>
      <c r="O51" s="8"/>
      <c r="P51" s="8"/>
      <c r="Q51" s="8"/>
      <c r="R51" s="22"/>
      <c r="T51" s="8"/>
      <c r="U51" s="8"/>
      <c r="V51" s="8"/>
      <c r="W51" s="8"/>
      <c r="X51" s="8"/>
      <c r="Y51" s="8"/>
      <c r="Z51" s="8"/>
    </row>
    <row r="52" spans="2:30" ht="14.25">
      <c r="B52" s="37" t="s">
        <v>41</v>
      </c>
      <c r="C52" s="30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8"/>
      <c r="P52" s="8"/>
      <c r="Q52" s="8"/>
      <c r="R52" s="48"/>
      <c r="S52" s="49"/>
      <c r="T52" s="50"/>
      <c r="U52" s="8"/>
      <c r="V52" s="8"/>
      <c r="W52" s="8"/>
      <c r="X52" s="8"/>
      <c r="Y52" s="8"/>
      <c r="Z52" s="8"/>
    </row>
    <row r="53" spans="2:30" ht="14.25">
      <c r="B53" s="66" t="s">
        <v>75</v>
      </c>
      <c r="C53" s="30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8"/>
      <c r="P53" s="8"/>
      <c r="Q53" s="8"/>
      <c r="R53" s="48"/>
      <c r="S53" s="49"/>
      <c r="T53" s="50"/>
      <c r="U53" s="8"/>
      <c r="V53" s="8"/>
      <c r="W53" s="8"/>
      <c r="X53" s="8"/>
      <c r="Y53" s="8"/>
      <c r="Z53" s="8"/>
    </row>
    <row r="54" spans="2:30" ht="14.25">
      <c r="B54" s="31"/>
      <c r="C54" s="66" t="s">
        <v>141</v>
      </c>
      <c r="D54" s="51"/>
      <c r="E54" s="51"/>
      <c r="F54" s="51"/>
      <c r="G54" s="51"/>
      <c r="H54" s="51"/>
      <c r="I54" s="51"/>
      <c r="J54" s="48"/>
      <c r="K54" s="48"/>
      <c r="L54" s="48"/>
      <c r="M54" s="48"/>
      <c r="N54" s="48"/>
      <c r="O54" s="8"/>
      <c r="P54" s="8"/>
      <c r="Q54" s="8"/>
      <c r="R54" s="48"/>
      <c r="S54" s="49"/>
      <c r="T54" s="50"/>
      <c r="U54" s="8"/>
      <c r="V54" s="8"/>
      <c r="W54" s="8"/>
      <c r="X54" s="8"/>
      <c r="Y54" s="8"/>
      <c r="Z54" s="8"/>
    </row>
    <row r="55" spans="2:30" ht="14.25">
      <c r="B55" s="30"/>
      <c r="C55" s="66" t="s">
        <v>51</v>
      </c>
      <c r="D55" s="51"/>
      <c r="E55" s="51"/>
      <c r="F55" s="51"/>
      <c r="G55" s="51"/>
      <c r="H55" s="51"/>
      <c r="I55" s="51"/>
      <c r="J55" s="48"/>
      <c r="K55" s="48"/>
      <c r="L55" s="48"/>
      <c r="M55" s="48"/>
      <c r="N55" s="48"/>
      <c r="O55" s="8"/>
      <c r="P55" s="8"/>
      <c r="Q55" s="8"/>
      <c r="R55" s="48"/>
      <c r="S55" s="49"/>
      <c r="T55" s="50"/>
      <c r="U55" s="8"/>
      <c r="V55" s="8"/>
      <c r="W55" s="8"/>
      <c r="X55" s="8"/>
      <c r="Y55" s="8"/>
      <c r="Z55" s="8"/>
    </row>
    <row r="56" spans="2:30" ht="14.25">
      <c r="B56" s="22"/>
      <c r="C56" s="66" t="s">
        <v>86</v>
      </c>
      <c r="D56" s="38"/>
      <c r="E56" s="38"/>
      <c r="F56" s="38"/>
      <c r="G56" s="38"/>
      <c r="H56" s="38"/>
      <c r="I56" s="38"/>
      <c r="J56" s="22"/>
      <c r="K56" s="22"/>
      <c r="L56" s="22"/>
      <c r="M56" s="22"/>
      <c r="N56" s="22"/>
      <c r="O56" s="8"/>
      <c r="P56" s="8"/>
      <c r="Q56" s="8"/>
      <c r="R56" s="22"/>
      <c r="T56" s="8"/>
      <c r="U56" s="8"/>
      <c r="V56" s="8"/>
      <c r="W56" s="8"/>
      <c r="X56" s="8"/>
      <c r="Y56" s="8"/>
      <c r="Z56" s="8"/>
    </row>
    <row r="57" spans="2:30" ht="14.25">
      <c r="B57" s="22"/>
      <c r="C57" s="38"/>
      <c r="D57" s="38"/>
      <c r="E57" s="38"/>
      <c r="F57" s="38"/>
      <c r="G57" s="38"/>
      <c r="H57" s="38"/>
      <c r="I57" s="38"/>
      <c r="J57" s="22"/>
      <c r="K57" s="22"/>
      <c r="L57" s="22"/>
      <c r="M57" s="22"/>
      <c r="N57" s="22"/>
      <c r="O57" s="8"/>
      <c r="P57" s="8"/>
      <c r="Q57" s="8"/>
      <c r="R57" s="22"/>
      <c r="T57" s="8"/>
      <c r="U57" s="8"/>
      <c r="V57" s="8"/>
      <c r="W57" s="8"/>
      <c r="X57" s="8"/>
      <c r="Y57" s="8"/>
      <c r="Z57" s="8"/>
    </row>
    <row r="58" spans="2:30" ht="14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8"/>
      <c r="P58" s="8"/>
      <c r="Q58" s="8"/>
      <c r="R58" s="22"/>
      <c r="T58" s="8"/>
      <c r="U58" s="8"/>
      <c r="V58" s="8"/>
      <c r="W58" s="8"/>
      <c r="X58" s="8"/>
      <c r="Y58" s="8"/>
      <c r="Z58" s="8"/>
    </row>
    <row r="59" spans="2:30">
      <c r="AD59" s="23"/>
    </row>
    <row r="60" spans="2:30">
      <c r="B60" s="10" t="s">
        <v>132</v>
      </c>
    </row>
    <row r="61" spans="2:30">
      <c r="B61" s="25" t="s">
        <v>6</v>
      </c>
      <c r="C61" s="26"/>
      <c r="D61" s="26"/>
      <c r="E61" s="26"/>
      <c r="F61" s="25" t="s">
        <v>9</v>
      </c>
      <c r="G61" s="25"/>
      <c r="H61" s="25" t="s">
        <v>10</v>
      </c>
      <c r="I61" s="25" t="s">
        <v>16</v>
      </c>
      <c r="J61" s="26"/>
    </row>
    <row r="62" spans="2:30">
      <c r="B62" s="9" t="s">
        <v>15</v>
      </c>
      <c r="D62" s="9" t="s">
        <v>14</v>
      </c>
      <c r="F62" s="11">
        <v>2</v>
      </c>
      <c r="G62" s="11"/>
      <c r="H62">
        <v>512</v>
      </c>
      <c r="I62" t="s">
        <v>76</v>
      </c>
      <c r="K62" s="9"/>
    </row>
    <row r="63" spans="2:30">
      <c r="D63" s="9" t="s">
        <v>13</v>
      </c>
      <c r="F63" s="11">
        <v>2</v>
      </c>
      <c r="G63" s="11"/>
      <c r="H63">
        <v>128</v>
      </c>
      <c r="I63" s="9" t="s">
        <v>76</v>
      </c>
      <c r="J63" s="9"/>
      <c r="K63" s="9"/>
    </row>
    <row r="64" spans="2:30">
      <c r="D64" t="s">
        <v>0</v>
      </c>
      <c r="F64" s="12">
        <v>1</v>
      </c>
      <c r="G64" s="12"/>
      <c r="H64">
        <v>128</v>
      </c>
      <c r="I64" s="9" t="s">
        <v>76</v>
      </c>
    </row>
    <row r="65" spans="2:11">
      <c r="D65" t="s">
        <v>78</v>
      </c>
      <c r="F65" s="12">
        <f>min_ps1prop_a+min_ps2_a+1</f>
        <v>5</v>
      </c>
      <c r="G65" s="12"/>
      <c r="H65" s="12">
        <f>max_ps1prop_a+max_ps2_a+1</f>
        <v>641</v>
      </c>
      <c r="I65" s="9" t="s">
        <v>76</v>
      </c>
    </row>
    <row r="66" spans="2:11">
      <c r="I66" s="9" t="s">
        <v>76</v>
      </c>
    </row>
    <row r="67" spans="2:11">
      <c r="B67" s="85" t="s">
        <v>113</v>
      </c>
      <c r="D67" s="9" t="s">
        <v>14</v>
      </c>
      <c r="F67" s="12">
        <v>1</v>
      </c>
      <c r="G67" s="12"/>
      <c r="H67">
        <v>256</v>
      </c>
      <c r="I67" s="9" t="s">
        <v>76</v>
      </c>
    </row>
    <row r="68" spans="2:11">
      <c r="D68" s="9" t="s">
        <v>13</v>
      </c>
      <c r="F68" s="12">
        <v>2</v>
      </c>
      <c r="G68" s="12"/>
      <c r="H68">
        <v>128</v>
      </c>
      <c r="I68" s="9" t="s">
        <v>76</v>
      </c>
    </row>
    <row r="69" spans="2:11">
      <c r="D69" s="9" t="s">
        <v>0</v>
      </c>
      <c r="F69" s="12">
        <v>1</v>
      </c>
      <c r="G69" s="12"/>
      <c r="H69">
        <v>128</v>
      </c>
      <c r="I69" s="9" t="s">
        <v>76</v>
      </c>
    </row>
    <row r="70" spans="2:11">
      <c r="D70" t="s">
        <v>89</v>
      </c>
      <c r="F70" s="11">
        <v>1</v>
      </c>
      <c r="G70" s="11"/>
      <c r="H70">
        <v>160</v>
      </c>
      <c r="I70" t="s">
        <v>77</v>
      </c>
    </row>
    <row r="71" spans="2:11">
      <c r="D71" t="s">
        <v>78</v>
      </c>
      <c r="F71" s="28">
        <v>4</v>
      </c>
      <c r="G71" s="28"/>
      <c r="H71">
        <f>max_ps1prop_d+max_ps2_d+1</f>
        <v>385</v>
      </c>
      <c r="I71" s="9" t="s">
        <v>76</v>
      </c>
      <c r="K71" s="28"/>
    </row>
    <row r="72" spans="2:11">
      <c r="D72" s="28"/>
      <c r="F72" s="28"/>
      <c r="G72" s="28"/>
      <c r="I72" s="9"/>
      <c r="K72" s="28"/>
    </row>
    <row r="73" spans="2:11">
      <c r="B73" s="28"/>
    </row>
  </sheetData>
  <customSheetViews>
    <customSheetView guid="{694DA1A8-4125-CE46-8ADB-20AC8F55CAD4}" scale="115" fitToPage="1" showRuler="0">
      <selection activeCell="H21" sqref="H21"/>
      <pageMargins left="0.19685039370078741" right="0.19685039370078741" top="0.39370078740157483" bottom="0.39370078740157483" header="0.51181102362204722" footer="0.51181102362204722"/>
      <pageSetup paperSize="9" scale="42" orientation="landscape"/>
      <headerFooter alignWithMargins="0"/>
    </customSheetView>
  </customSheetViews>
  <mergeCells count="30">
    <mergeCell ref="A17:A21"/>
    <mergeCell ref="B17:B21"/>
    <mergeCell ref="C17:C21"/>
    <mergeCell ref="D17:E17"/>
    <mergeCell ref="F17:F21"/>
    <mergeCell ref="D39:E39"/>
    <mergeCell ref="H39:I39"/>
    <mergeCell ref="I19:I21"/>
    <mergeCell ref="J19:J21"/>
    <mergeCell ref="L19:L21"/>
    <mergeCell ref="G17:G21"/>
    <mergeCell ref="B2:T2"/>
    <mergeCell ref="H17:H21"/>
    <mergeCell ref="D20:D21"/>
    <mergeCell ref="E20:E21"/>
    <mergeCell ref="K19:K21"/>
    <mergeCell ref="S17:S21"/>
    <mergeCell ref="R17:R21"/>
    <mergeCell ref="N19:N21"/>
    <mergeCell ref="T17:T21"/>
    <mergeCell ref="I17:N18"/>
    <mergeCell ref="V17:V21"/>
    <mergeCell ref="Z17:Z21"/>
    <mergeCell ref="AB16:AC16"/>
    <mergeCell ref="M19:M21"/>
    <mergeCell ref="O16:Q16"/>
    <mergeCell ref="Y17:Y21"/>
    <mergeCell ref="X17:X21"/>
    <mergeCell ref="U17:U21"/>
    <mergeCell ref="W17:W21"/>
  </mergeCells>
  <phoneticPr fontId="17" type="noConversion"/>
  <conditionalFormatting sqref="P23:Q34">
    <cfRule type="containsText" dxfId="28" priority="31" stopIfTrue="1" operator="containsText" text="ERROR">
      <formula>NOT(ISERROR(SEARCH("ERROR",P23)))</formula>
    </cfRule>
    <cfRule type="cellIs" dxfId="27" priority="32" stopIfTrue="1" operator="equal">
      <formula>"OK"</formula>
    </cfRule>
  </conditionalFormatting>
  <conditionalFormatting sqref="P28:Q34">
    <cfRule type="containsText" dxfId="26" priority="1" stopIfTrue="1" operator="containsText" text="ERROR">
      <formula>NOT(ISERROR(SEARCH("ERROR",P28)))</formula>
    </cfRule>
    <cfRule type="cellIs" dxfId="25" priority="2" stopIfTrue="1" operator="equal">
      <formula>"OK"</formula>
    </cfRule>
  </conditionalFormatting>
  <conditionalFormatting sqref="R23:R34">
    <cfRule type="cellIs" dxfId="24" priority="47" stopIfTrue="1" operator="lessThan">
      <formula xml:space="preserve"> TD_warning_level</formula>
    </cfRule>
  </conditionalFormatting>
  <conditionalFormatting sqref="T22:T34">
    <cfRule type="cellIs" dxfId="23" priority="37" stopIfTrue="1" operator="equal">
      <formula>"OK"</formula>
    </cfRule>
    <cfRule type="containsText" dxfId="22" priority="38" stopIfTrue="1" operator="containsText" text="ERROR">
      <formula>NOT(ISERROR(SEARCH("ERROR",T22)))</formula>
    </cfRule>
  </conditionalFormatting>
  <conditionalFormatting sqref="X23:Y34">
    <cfRule type="cellIs" dxfId="21" priority="36" stopIfTrue="1" operator="between">
      <formula>min_sm_ok</formula>
      <formula>min_sm_good</formula>
    </cfRule>
    <cfRule type="cellIs" dxfId="20" priority="40" stopIfTrue="1" operator="lessThan">
      <formula>min_sm_ok</formula>
    </cfRule>
    <cfRule type="cellIs" dxfId="19" priority="41" stopIfTrue="1" operator="greaterThan">
      <formula>min_sm_good</formula>
    </cfRule>
  </conditionalFormatting>
  <conditionalFormatting sqref="Y22">
    <cfRule type="cellIs" dxfId="18" priority="110" stopIfTrue="1" operator="equal">
      <formula>"OK"</formula>
    </cfRule>
    <cfRule type="containsText" dxfId="17" priority="111" stopIfTrue="1" operator="containsText" text="ERROR">
      <formula>NOT(ISERROR(SEARCH("ERROR",Y22)))</formula>
    </cfRule>
  </conditionalFormatting>
  <conditionalFormatting sqref="Z23:Z34">
    <cfRule type="containsText" dxfId="16" priority="39" stopIfTrue="1" operator="containsText" text="ERROR">
      <formula>NOT(ISERROR(SEARCH("ERROR",Z23)))</formula>
    </cfRule>
    <cfRule type="cellIs" dxfId="15" priority="42" stopIfTrue="1" operator="equal">
      <formula>"OK"</formula>
    </cfRule>
  </conditionalFormatting>
  <conditionalFormatting sqref="AA23:AA34">
    <cfRule type="containsText" dxfId="14" priority="33" stopIfTrue="1" operator="containsText" text="ERROR">
      <formula>NOT(ISERROR(SEARCH("ERROR",AA23)))</formula>
    </cfRule>
  </conditionalFormatting>
  <conditionalFormatting sqref="AF23:AF34">
    <cfRule type="cellIs" dxfId="13" priority="46" stopIfTrue="1" operator="lessThan">
      <formula>0</formula>
    </cfRule>
  </conditionalFormatting>
  <dataValidations disablePrompts="1" count="1">
    <dataValidation type="list" allowBlank="1" showInputMessage="1" showErrorMessage="1" sqref="C41" xr:uid="{00000000-0002-0000-0000-000000000000}">
      <formula1>liste_transceiver_types</formula1>
    </dataValidation>
  </dataValidations>
  <pageMargins left="0.19685039370078741" right="0.19685039370078741" top="0.39370078740157483" bottom="0.39370078740157483" header="0.51181102362204722" footer="0.51181102362204722"/>
  <pageSetup paperSize="9" scale="42" orientation="landscape" r:id="rId1"/>
  <headerFooter alignWithMargins="0"/>
  <ignoredErrors>
    <ignoredError sqref="D46:E46" unlocked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4AE7-FA05-4BC1-9FD3-8F5A812AF3A5}">
  <dimension ref="B3:AD68"/>
  <sheetViews>
    <sheetView workbookViewId="0">
      <selection activeCell="D21" sqref="D21"/>
    </sheetView>
  </sheetViews>
  <sheetFormatPr baseColWidth="10" defaultRowHeight="12.75"/>
  <cols>
    <col min="2" max="2" width="21.85546875" bestFit="1" customWidth="1"/>
  </cols>
  <sheetData>
    <row r="3" spans="2:30">
      <c r="B3" s="32" t="s">
        <v>22</v>
      </c>
      <c r="D3" s="11"/>
    </row>
    <row r="4" spans="2:30" ht="14.25">
      <c r="B4" s="10" t="s">
        <v>21</v>
      </c>
      <c r="C4" s="67">
        <v>160</v>
      </c>
      <c r="D4" s="10" t="s">
        <v>2</v>
      </c>
      <c r="E4" t="s">
        <v>110</v>
      </c>
      <c r="F4" s="1"/>
      <c r="G4" s="1"/>
      <c r="H4" s="10"/>
      <c r="J4" s="1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C4" s="5"/>
      <c r="AD4" s="5"/>
    </row>
    <row r="5" spans="2:30">
      <c r="B5" s="10" t="s">
        <v>20</v>
      </c>
      <c r="C5" s="68">
        <v>2E-3</v>
      </c>
      <c r="D5" s="10"/>
      <c r="F5" s="1"/>
      <c r="G5" s="1"/>
      <c r="H5" s="10"/>
      <c r="J5" s="10"/>
      <c r="K5" s="13"/>
      <c r="L5" s="1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10"/>
      <c r="AC5" s="5"/>
      <c r="AD5" s="5"/>
    </row>
    <row r="6" spans="2:30">
      <c r="B6" s="10" t="s">
        <v>108</v>
      </c>
      <c r="C6" s="99">
        <v>700</v>
      </c>
      <c r="D6" s="10" t="s">
        <v>109</v>
      </c>
      <c r="E6" t="s">
        <v>111</v>
      </c>
      <c r="F6" s="1"/>
      <c r="G6" s="1"/>
      <c r="H6" s="10"/>
      <c r="J6" s="10"/>
      <c r="K6" s="13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10"/>
      <c r="AC6" s="5"/>
      <c r="AD6" s="5"/>
    </row>
    <row r="7" spans="2:30">
      <c r="B7" s="10" t="s">
        <v>23</v>
      </c>
      <c r="C7" s="13" t="e">
        <f>1/$C$10*10^3</f>
        <v>#DIV/0!</v>
      </c>
      <c r="D7" s="10" t="s">
        <v>4</v>
      </c>
      <c r="F7" s="1"/>
      <c r="G7" s="1"/>
      <c r="H7" s="10"/>
      <c r="J7" s="10"/>
      <c r="K7" s="13"/>
      <c r="L7" s="1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10"/>
      <c r="AC7" s="5"/>
      <c r="AD7" s="5"/>
    </row>
    <row r="8" spans="2:30">
      <c r="B8" s="10" t="s">
        <v>99</v>
      </c>
      <c r="C8" s="90">
        <v>11</v>
      </c>
      <c r="D8" s="10" t="s">
        <v>100</v>
      </c>
      <c r="E8" s="85" t="s">
        <v>114</v>
      </c>
      <c r="F8" s="1"/>
      <c r="G8" s="1"/>
      <c r="H8" s="10"/>
      <c r="J8" s="10"/>
      <c r="K8" s="13"/>
      <c r="L8" s="1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10"/>
      <c r="AC8" s="5"/>
      <c r="AD8" s="5"/>
    </row>
    <row r="9" spans="2:30">
      <c r="B9" s="1"/>
      <c r="C9" s="14"/>
      <c r="D9" s="14"/>
      <c r="E9" s="14"/>
      <c r="F9" s="14"/>
      <c r="G9" s="14"/>
      <c r="H9" s="15"/>
      <c r="AB9" s="10" t="s">
        <v>140</v>
      </c>
    </row>
    <row r="10" spans="2:30">
      <c r="B10" s="113" t="s">
        <v>56</v>
      </c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135" t="s">
        <v>145</v>
      </c>
      <c r="P10" s="135"/>
      <c r="Q10" s="135"/>
      <c r="R10" s="82" t="s">
        <v>95</v>
      </c>
      <c r="S10" s="82"/>
      <c r="T10" s="82"/>
      <c r="U10" s="82"/>
      <c r="V10" s="82"/>
      <c r="W10" s="82"/>
      <c r="X10" s="83"/>
      <c r="Y10" s="83"/>
      <c r="Z10" s="83"/>
      <c r="AA10" s="16"/>
      <c r="AB10" s="132"/>
      <c r="AC10" s="132"/>
      <c r="AD10" s="24"/>
    </row>
    <row r="11" spans="2:30" ht="14.25">
      <c r="B11" s="146" t="s">
        <v>6</v>
      </c>
      <c r="C11" s="126" t="s">
        <v>59</v>
      </c>
      <c r="D11" s="120" t="s">
        <v>64</v>
      </c>
      <c r="E11" s="122"/>
      <c r="F11" s="126" t="s">
        <v>62</v>
      </c>
      <c r="G11" s="126" t="s">
        <v>63</v>
      </c>
      <c r="H11" s="126" t="s">
        <v>65</v>
      </c>
      <c r="I11" s="120" t="s">
        <v>66</v>
      </c>
      <c r="J11" s="121"/>
      <c r="K11" s="121"/>
      <c r="L11" s="121"/>
      <c r="M11" s="121"/>
      <c r="N11" s="122"/>
      <c r="O11" s="108" t="s">
        <v>134</v>
      </c>
      <c r="P11" s="108" t="s">
        <v>135</v>
      </c>
      <c r="Q11" s="108" t="s">
        <v>136</v>
      </c>
      <c r="R11" s="139" t="s">
        <v>90</v>
      </c>
      <c r="S11" s="139" t="s">
        <v>94</v>
      </c>
      <c r="T11" s="119" t="s">
        <v>11</v>
      </c>
      <c r="U11" s="119" t="s">
        <v>55</v>
      </c>
      <c r="V11" s="126" t="s">
        <v>67</v>
      </c>
      <c r="W11" s="126" t="s">
        <v>68</v>
      </c>
      <c r="X11" s="129" t="s">
        <v>69</v>
      </c>
      <c r="Y11" s="129" t="s">
        <v>70</v>
      </c>
      <c r="Z11" s="129" t="s">
        <v>79</v>
      </c>
      <c r="AA11" s="17"/>
      <c r="AB11" s="4" t="s">
        <v>80</v>
      </c>
      <c r="AC11" s="4" t="s">
        <v>24</v>
      </c>
      <c r="AD11" s="24" t="s">
        <v>25</v>
      </c>
    </row>
    <row r="12" spans="2:30" ht="14.25">
      <c r="B12" s="127"/>
      <c r="C12" s="127"/>
      <c r="D12" s="54"/>
      <c r="E12" s="54"/>
      <c r="F12" s="127"/>
      <c r="G12" s="127"/>
      <c r="H12" s="127"/>
      <c r="I12" s="123"/>
      <c r="J12" s="124"/>
      <c r="K12" s="124"/>
      <c r="L12" s="124"/>
      <c r="M12" s="124"/>
      <c r="N12" s="125"/>
      <c r="O12" s="109" t="s">
        <v>137</v>
      </c>
      <c r="P12" s="109" t="s">
        <v>137</v>
      </c>
      <c r="Q12" s="109" t="s">
        <v>137</v>
      </c>
      <c r="R12" s="119"/>
      <c r="S12" s="119"/>
      <c r="T12" s="119"/>
      <c r="U12" s="119"/>
      <c r="V12" s="127"/>
      <c r="W12" s="127"/>
      <c r="X12" s="130"/>
      <c r="Y12" s="130"/>
      <c r="Z12" s="130"/>
      <c r="AA12" s="17"/>
      <c r="AB12" s="6" t="s">
        <v>8</v>
      </c>
      <c r="AC12" s="6" t="s">
        <v>3</v>
      </c>
      <c r="AD12" s="6" t="s">
        <v>8</v>
      </c>
    </row>
    <row r="13" spans="2:30" ht="14.25">
      <c r="B13" s="127"/>
      <c r="C13" s="127"/>
      <c r="D13" s="54"/>
      <c r="E13" s="54"/>
      <c r="F13" s="127"/>
      <c r="G13" s="127"/>
      <c r="H13" s="127"/>
      <c r="I13" s="133" t="s">
        <v>91</v>
      </c>
      <c r="J13" s="133" t="s">
        <v>92</v>
      </c>
      <c r="K13" s="133" t="s">
        <v>93</v>
      </c>
      <c r="L13" s="133" t="s">
        <v>0</v>
      </c>
      <c r="M13" s="133" t="s">
        <v>53</v>
      </c>
      <c r="N13" s="140" t="s">
        <v>54</v>
      </c>
      <c r="O13" s="109"/>
      <c r="P13" s="109"/>
      <c r="Q13" s="109"/>
      <c r="R13" s="119"/>
      <c r="S13" s="119"/>
      <c r="T13" s="119"/>
      <c r="U13" s="119"/>
      <c r="V13" s="127"/>
      <c r="W13" s="127"/>
      <c r="X13" s="130"/>
      <c r="Y13" s="130"/>
      <c r="Z13" s="130"/>
      <c r="AA13" s="18"/>
      <c r="AB13" s="6" t="s">
        <v>5</v>
      </c>
      <c r="AC13" s="6" t="s">
        <v>5</v>
      </c>
      <c r="AD13" s="6" t="s">
        <v>5</v>
      </c>
    </row>
    <row r="14" spans="2:30" ht="14.25">
      <c r="B14" s="127"/>
      <c r="C14" s="127"/>
      <c r="D14" s="137" t="s">
        <v>60</v>
      </c>
      <c r="E14" s="137" t="s">
        <v>61</v>
      </c>
      <c r="F14" s="127"/>
      <c r="G14" s="127"/>
      <c r="H14" s="127"/>
      <c r="I14" s="134"/>
      <c r="J14" s="134"/>
      <c r="K14" s="134"/>
      <c r="L14" s="134"/>
      <c r="M14" s="134"/>
      <c r="N14" s="141"/>
      <c r="O14" s="109"/>
      <c r="P14" s="109"/>
      <c r="Q14" s="109"/>
      <c r="R14" s="119"/>
      <c r="S14" s="119"/>
      <c r="T14" s="119"/>
      <c r="U14" s="119"/>
      <c r="V14" s="127"/>
      <c r="W14" s="127"/>
      <c r="X14" s="130"/>
      <c r="Y14" s="130"/>
      <c r="Z14" s="130"/>
      <c r="AA14" s="18"/>
      <c r="AB14" s="6"/>
      <c r="AC14" s="6"/>
      <c r="AD14" s="6"/>
    </row>
    <row r="15" spans="2:30" ht="14.25">
      <c r="B15" s="128"/>
      <c r="C15" s="128"/>
      <c r="D15" s="138"/>
      <c r="E15" s="138"/>
      <c r="F15" s="128"/>
      <c r="G15" s="128"/>
      <c r="H15" s="128"/>
      <c r="I15" s="134"/>
      <c r="J15" s="134"/>
      <c r="K15" s="134"/>
      <c r="L15" s="134"/>
      <c r="M15" s="134"/>
      <c r="N15" s="142"/>
      <c r="O15" s="110"/>
      <c r="P15" s="110"/>
      <c r="Q15" s="110"/>
      <c r="R15" s="119"/>
      <c r="S15" s="119"/>
      <c r="T15" s="119"/>
      <c r="U15" s="119"/>
      <c r="V15" s="128"/>
      <c r="W15" s="128"/>
      <c r="X15" s="131"/>
      <c r="Y15" s="131"/>
      <c r="Z15" s="131"/>
      <c r="AA15" s="18"/>
      <c r="AB15" s="6" t="s">
        <v>1</v>
      </c>
      <c r="AC15" s="6" t="s">
        <v>1</v>
      </c>
      <c r="AD15" s="6" t="s">
        <v>1</v>
      </c>
    </row>
    <row r="16" spans="2:30" ht="14.25">
      <c r="B16" s="63" t="s">
        <v>57</v>
      </c>
      <c r="C16" s="55">
        <f>$C$10/($H16*$F16)</f>
        <v>0</v>
      </c>
      <c r="D16" s="56">
        <f>($I16+$J16+1)/$H16</f>
        <v>0.8</v>
      </c>
      <c r="E16" s="57" t="s">
        <v>12</v>
      </c>
      <c r="F16" s="69">
        <v>1</v>
      </c>
      <c r="G16" s="91">
        <f>BRP_a*can_clk_period</f>
        <v>0</v>
      </c>
      <c r="H16" s="58">
        <f>1+$I16+$J16+$K16</f>
        <v>320</v>
      </c>
      <c r="I16" s="69">
        <v>191</v>
      </c>
      <c r="J16" s="69">
        <v>64</v>
      </c>
      <c r="K16" s="69">
        <v>64</v>
      </c>
      <c r="L16" s="69">
        <v>64</v>
      </c>
      <c r="M16" s="78" t="s">
        <v>12</v>
      </c>
      <c r="N16" s="76" t="s">
        <v>12</v>
      </c>
      <c r="O16" s="28"/>
      <c r="P16" s="28"/>
      <c r="Q16" s="28"/>
      <c r="R16" s="85"/>
      <c r="S16" s="86">
        <f>prop_seg_a/bt_a*(1000/bitrate_a)</f>
        <v>1193.75</v>
      </c>
      <c r="T16" s="28" t="str">
        <f>IF(SUM($C16:$N16)=0,"not used",IF(AND((prop_seg_a+ps1_a)&gt;=min_ps1prop_a,(prop_seg_a+ps1_a)&lt;=max_ps1prop_a,ps2_a&gt;=min_ps2_a,ps2_a&lt;=max_ps2_a,sjw_a&lt;=ps1_a,sjw_a&lt;=ps2_a,sjw_a&gt;=min_sjw_a,sjw_a&lt;=max_sjw_a),"OK","ERROR"))</f>
        <v>OK</v>
      </c>
      <c r="U16" s="28"/>
      <c r="V16" s="28"/>
      <c r="W16" s="28"/>
      <c r="X16" s="28"/>
      <c r="Y16" s="28"/>
      <c r="Z16" s="28"/>
      <c r="AA16" s="8"/>
      <c r="AB16" s="19">
        <f>sjw_a/(10*bt_a)/2</f>
        <v>0.01</v>
      </c>
      <c r="AC16" s="19">
        <f>MIN(ps1_a,ps2_a)/(13*bt_a-ps2_a)/2</f>
        <v>7.8125E-3</v>
      </c>
    </row>
    <row r="17" spans="2:30" ht="14.25">
      <c r="B17" s="64" t="s">
        <v>58</v>
      </c>
      <c r="C17" s="60" t="e">
        <f t="shared" ref="C17" si="0">can_clk_freq/(bt_d*BRP_d)</f>
        <v>#VALUE!</v>
      </c>
      <c r="D17" s="61" t="e">
        <f t="shared" ref="D17" si="1">(prop_seg_d+ps1_d+1)/bt_d</f>
        <v>#VALUE!</v>
      </c>
      <c r="E17" s="61" t="e">
        <f t="shared" ref="E17" si="2">IF(tdc_d="yes",(ssp_offset_d*can_clk_period*(bitrate_d/1000)),"not avail.")</f>
        <v>#VALUE!</v>
      </c>
      <c r="F17" s="70">
        <v>1</v>
      </c>
      <c r="G17" s="92" t="e">
        <f t="shared" ref="G17" si="3">BRP_d*can_clk_period</f>
        <v>#VALUE!</v>
      </c>
      <c r="H17" s="62" t="e">
        <f t="shared" ref="H17" si="4">1+prop_seg_d+ps1_d+ps2_d</f>
        <v>#VALUE!</v>
      </c>
      <c r="I17" s="71">
        <v>0</v>
      </c>
      <c r="J17" s="71">
        <v>40</v>
      </c>
      <c r="K17" s="71">
        <v>39</v>
      </c>
      <c r="L17" s="71">
        <v>39</v>
      </c>
      <c r="M17" s="71" t="s">
        <v>7</v>
      </c>
      <c r="N17" s="77" t="e">
        <f>IF(tdc_d="yes",(prop_seg_d+ps1_d+1)*BRP_d-1,"not avail.")</f>
        <v>#VALUE!</v>
      </c>
      <c r="O17" s="111" t="e">
        <f t="shared" ref="O17" si="5">MOD(bt_a,pwms+pwml)</f>
        <v>#VALUE!</v>
      </c>
      <c r="P17" s="41" t="e">
        <f t="shared" ref="P17" si="6">IF(bitrate_d&lt;5,"todo: VBA",ROUNDUP(bt_d/4,0))</f>
        <v>#VALUE!</v>
      </c>
      <c r="Q17" s="41" t="e">
        <f t="shared" ref="Q17" si="7">IF(bitrate_d&lt;5,"todo: VBA",bt_d-pwms)</f>
        <v>#VALUE!</v>
      </c>
      <c r="R17" s="88" t="e">
        <f t="shared" ref="R17" si="8">IF((tdc_d="yes"),((max_ssp_offset_d-ssp_offset_d)*can_clk_period),"--")</f>
        <v>#VALUE!</v>
      </c>
      <c r="S17" s="89"/>
      <c r="T17" s="28" t="e">
        <f t="shared" ref="T17" si="9">IF(SUM($C17:$N17)=0,"not used",IF(AND((prop_seg_d+ps1_d)&gt;=min_ps1prop_d,(prop_seg_d+ps1_d)&lt;=max_ps1prop_d,ps2_d&gt;=min_ps2_d,ps2_d&lt;=max_ps2_d,sjw_d&lt;=ps1_d,sjw_d&lt;=ps2_d,sjw_d&gt;=min_sjw_d,sjw_d&lt;=max_sjw_d,(prop_seg_d+ps1_d+ps2_d+1)&gt;=min_bt_d,IF(tdc_d="yes",IF(AND(ssp_offset_d&gt;=min_ssp_offset_d,ssp_offset_d&lt;=max_ssp_offset_d,secondary_sp_d&lt;1,BRP_d&gt;=1,BRP_d&lt;=2),TRUE,FALSE),TRUE)),"OK","ERROR"))</f>
        <v>#VALUE!</v>
      </c>
      <c r="U17" s="87" t="e">
        <f t="shared" ref="U17" si="10">MIN(df_rule1, df_rule2, AD17)</f>
        <v>#VALUE!</v>
      </c>
      <c r="V17" s="86" t="e">
        <f t="shared" ref="V17" si="11">IF(df_used&lt;=df_allowed, (((S_Stuff+1)*bt_d-ps2_d-1)/(1+df_used)-S_Stuff*bt_d/(1-df_used))*BRP_d*can_clk_period, "df_used too large")</f>
        <v>#VALUE!</v>
      </c>
      <c r="W17" s="86" t="e">
        <f t="shared" ref="W17" si="12">IF(df_used&lt;=df_allowed,(S_Stuff*bt_d/(1+df_used)-(S_Stuff*bt_d-ps2_d)/(1-df_used))*BRP_d*can_clk_period,"df_used too large")</f>
        <v>#VALUE!</v>
      </c>
      <c r="X17" s="41" t="e">
        <f t="shared" ref="X17" si="13">_pm1-A1_total</f>
        <v>#VALUE!</v>
      </c>
      <c r="Y17" s="41" t="e">
        <f t="shared" ref="Y17" si="14">_pm2-A2_total</f>
        <v>#VALUE!</v>
      </c>
      <c r="Z17" s="41" t="e">
        <f t="shared" ref="Z17" si="15">IF(OR(_sm1&lt;0,_sm2&lt;0),"ERROR","OK")</f>
        <v>#VALUE!</v>
      </c>
      <c r="AA17" s="8" t="e">
        <f t="shared" ref="AA17" si="16">IF((tdc_d &lt;&gt; "yes"),IF((bitrate_d &gt;1),"ERROR, TDC is mandatory",""),"")</f>
        <v>#VALUE!</v>
      </c>
      <c r="AB17" s="34"/>
      <c r="AC17" s="34"/>
      <c r="AD17" s="21" t="e">
        <f t="shared" ref="AD17" si="17">sjw_d/(2*(2*S_Stuff+1)*bt_d)</f>
        <v>#VALUE!</v>
      </c>
    </row>
    <row r="21" spans="2:30">
      <c r="B21" s="10" t="s">
        <v>146</v>
      </c>
      <c r="D21" s="115">
        <v>1</v>
      </c>
      <c r="E21" t="s">
        <v>147</v>
      </c>
    </row>
    <row r="23" spans="2:30">
      <c r="B23" s="10" t="s">
        <v>148</v>
      </c>
      <c r="I23" t="s">
        <v>174</v>
      </c>
    </row>
    <row r="24" spans="2:30">
      <c r="B24" s="28" t="s">
        <v>167</v>
      </c>
      <c r="C24" s="116">
        <v>160</v>
      </c>
      <c r="D24" s="28" t="s">
        <v>2</v>
      </c>
      <c r="E24" s="28"/>
    </row>
    <row r="25" spans="2:30">
      <c r="B25" s="28" t="s">
        <v>20</v>
      </c>
      <c r="C25" s="117">
        <v>2E-3</v>
      </c>
      <c r="D25" s="28" t="s">
        <v>149</v>
      </c>
      <c r="E25" s="28"/>
    </row>
    <row r="26" spans="2:30">
      <c r="B26" s="28" t="s">
        <v>108</v>
      </c>
      <c r="C26" s="118">
        <v>700</v>
      </c>
      <c r="D26" s="28" t="s">
        <v>109</v>
      </c>
      <c r="E26" s="28"/>
    </row>
    <row r="28" spans="2:30" ht="25.5">
      <c r="C28" s="102" t="s">
        <v>163</v>
      </c>
      <c r="D28" s="102" t="s">
        <v>162</v>
      </c>
    </row>
    <row r="29" spans="2:30">
      <c r="B29" s="10" t="s">
        <v>164</v>
      </c>
    </row>
    <row r="30" spans="2:30">
      <c r="B30" s="28" t="s">
        <v>59</v>
      </c>
    </row>
    <row r="31" spans="2:30">
      <c r="B31" s="28" t="s">
        <v>157</v>
      </c>
    </row>
    <row r="32" spans="2:30">
      <c r="B32" s="28" t="s">
        <v>158</v>
      </c>
      <c r="C32" s="114" t="s">
        <v>151</v>
      </c>
    </row>
    <row r="33" spans="2:4">
      <c r="B33" s="28" t="s">
        <v>65</v>
      </c>
    </row>
    <row r="34" spans="2:4">
      <c r="B34" s="28" t="s">
        <v>152</v>
      </c>
    </row>
    <row r="35" spans="2:4">
      <c r="B35" s="28"/>
    </row>
    <row r="36" spans="2:4">
      <c r="B36" s="10" t="s">
        <v>150</v>
      </c>
    </row>
    <row r="37" spans="2:4">
      <c r="B37" s="28" t="s">
        <v>62</v>
      </c>
      <c r="C37" s="115">
        <v>1</v>
      </c>
      <c r="D37" s="115"/>
    </row>
    <row r="38" spans="2:4">
      <c r="B38" s="28" t="s">
        <v>153</v>
      </c>
      <c r="C38" s="115">
        <v>191</v>
      </c>
      <c r="D38" s="115">
        <v>0</v>
      </c>
    </row>
    <row r="39" spans="2:4">
      <c r="B39" s="28" t="s">
        <v>154</v>
      </c>
      <c r="C39" s="115">
        <v>64</v>
      </c>
      <c r="D39" s="115">
        <v>40</v>
      </c>
    </row>
    <row r="40" spans="2:4">
      <c r="B40" s="28" t="s">
        <v>155</v>
      </c>
      <c r="C40" s="115">
        <v>64</v>
      </c>
      <c r="D40" s="115">
        <v>39</v>
      </c>
    </row>
    <row r="41" spans="2:4">
      <c r="B41" s="28" t="s">
        <v>0</v>
      </c>
      <c r="C41" s="115">
        <v>64</v>
      </c>
      <c r="D41" s="115">
        <v>39</v>
      </c>
    </row>
    <row r="42" spans="2:4">
      <c r="B42" s="28" t="s">
        <v>156</v>
      </c>
      <c r="C42" s="114" t="s">
        <v>151</v>
      </c>
      <c r="D42" s="115" t="s">
        <v>7</v>
      </c>
    </row>
    <row r="43" spans="2:4">
      <c r="B43" s="28" t="s">
        <v>159</v>
      </c>
      <c r="C43" s="114" t="s">
        <v>151</v>
      </c>
    </row>
    <row r="45" spans="2:4">
      <c r="B45" s="10" t="s">
        <v>145</v>
      </c>
    </row>
    <row r="46" spans="2:4">
      <c r="B46" s="28" t="s">
        <v>134</v>
      </c>
      <c r="C46" s="114" t="s">
        <v>151</v>
      </c>
    </row>
    <row r="47" spans="2:4">
      <c r="B47" s="28" t="s">
        <v>135</v>
      </c>
      <c r="C47" s="114" t="s">
        <v>151</v>
      </c>
    </row>
    <row r="48" spans="2:4">
      <c r="B48" s="28" t="s">
        <v>136</v>
      </c>
      <c r="C48" s="114" t="s">
        <v>151</v>
      </c>
    </row>
    <row r="49" spans="2:4">
      <c r="B49" s="28"/>
    </row>
    <row r="50" spans="2:4">
      <c r="B50" s="10" t="s">
        <v>165</v>
      </c>
    </row>
    <row r="51" spans="2:4">
      <c r="B51" s="28" t="s">
        <v>161</v>
      </c>
      <c r="D51" s="114" t="s">
        <v>151</v>
      </c>
    </row>
    <row r="52" spans="2:4">
      <c r="B52" s="28" t="s">
        <v>160</v>
      </c>
      <c r="C52" s="114" t="s">
        <v>151</v>
      </c>
    </row>
    <row r="53" spans="2:4">
      <c r="B53" s="28" t="s">
        <v>166</v>
      </c>
    </row>
    <row r="54" spans="2:4">
      <c r="B54" s="28" t="s">
        <v>168</v>
      </c>
    </row>
    <row r="55" spans="2:4">
      <c r="B55" s="28" t="s">
        <v>169</v>
      </c>
    </row>
    <row r="56" spans="2:4">
      <c r="B56" s="28" t="s">
        <v>170</v>
      </c>
    </row>
    <row r="57" spans="2:4">
      <c r="B57" s="28" t="s">
        <v>171</v>
      </c>
    </row>
    <row r="59" spans="2:4">
      <c r="B59" s="10" t="s">
        <v>172</v>
      </c>
      <c r="C59" s="10" t="s">
        <v>26</v>
      </c>
      <c r="D59" s="10" t="s">
        <v>27</v>
      </c>
    </row>
    <row r="60" spans="2:4">
      <c r="B60" t="s">
        <v>102</v>
      </c>
      <c r="C60" s="115">
        <v>10</v>
      </c>
      <c r="D60" s="115">
        <v>10</v>
      </c>
    </row>
    <row r="61" spans="2:4">
      <c r="B61" s="30" t="s">
        <v>31</v>
      </c>
      <c r="C61" s="115">
        <v>0</v>
      </c>
      <c r="D61" s="115">
        <v>0</v>
      </c>
    </row>
    <row r="62" spans="2:4">
      <c r="B62" s="31" t="s">
        <v>49</v>
      </c>
      <c r="C62" s="115">
        <v>3</v>
      </c>
      <c r="D62" s="115">
        <v>3</v>
      </c>
    </row>
    <row r="63" spans="2:4">
      <c r="B63" s="30" t="s">
        <v>48</v>
      </c>
      <c r="C63" s="115">
        <v>0</v>
      </c>
      <c r="D63" s="115">
        <v>0</v>
      </c>
    </row>
    <row r="64" spans="2:4">
      <c r="B64" s="31" t="s">
        <v>33</v>
      </c>
      <c r="C64" s="115">
        <v>0</v>
      </c>
      <c r="D64" s="115">
        <v>0</v>
      </c>
    </row>
    <row r="65" spans="2:4">
      <c r="B65" s="31" t="s">
        <v>32</v>
      </c>
      <c r="C65" s="115">
        <v>1</v>
      </c>
      <c r="D65" s="115">
        <v>1</v>
      </c>
    </row>
    <row r="66" spans="2:4">
      <c r="B66" s="31" t="s">
        <v>35</v>
      </c>
      <c r="C66" s="115">
        <v>0</v>
      </c>
      <c r="D66" s="115">
        <v>0</v>
      </c>
    </row>
    <row r="67" spans="2:4">
      <c r="B67" s="31" t="s">
        <v>50</v>
      </c>
      <c r="C67" s="115">
        <v>0</v>
      </c>
      <c r="D67" s="115">
        <v>0</v>
      </c>
    </row>
    <row r="68" spans="2:4">
      <c r="B68" s="37" t="s">
        <v>173</v>
      </c>
      <c r="C68">
        <f>SUM(C60:C60)</f>
        <v>10</v>
      </c>
      <c r="D68">
        <f>SUM(D60:D60)</f>
        <v>10</v>
      </c>
    </row>
  </sheetData>
  <mergeCells count="26">
    <mergeCell ref="T11:T15"/>
    <mergeCell ref="U11:U15"/>
    <mergeCell ref="V11:V15"/>
    <mergeCell ref="W11:W15"/>
    <mergeCell ref="X11:X15"/>
    <mergeCell ref="K13:K15"/>
    <mergeCell ref="L13:L15"/>
    <mergeCell ref="M13:M15"/>
    <mergeCell ref="N13:N15"/>
    <mergeCell ref="S11:S15"/>
    <mergeCell ref="O10:Q10"/>
    <mergeCell ref="AB10:AC10"/>
    <mergeCell ref="B11:B15"/>
    <mergeCell ref="C11:C15"/>
    <mergeCell ref="D11:E11"/>
    <mergeCell ref="F11:F15"/>
    <mergeCell ref="G11:G15"/>
    <mergeCell ref="H11:H15"/>
    <mergeCell ref="I11:N12"/>
    <mergeCell ref="R11:R15"/>
    <mergeCell ref="D14:D15"/>
    <mergeCell ref="E14:E15"/>
    <mergeCell ref="Y11:Y15"/>
    <mergeCell ref="Z11:Z15"/>
    <mergeCell ref="I13:I15"/>
    <mergeCell ref="J13:J15"/>
  </mergeCells>
  <conditionalFormatting sqref="P17:Q17">
    <cfRule type="containsText" dxfId="12" priority="1" stopIfTrue="1" operator="containsText" text="ERROR">
      <formula>NOT(ISERROR(SEARCH("ERROR",P17)))</formula>
    </cfRule>
    <cfRule type="cellIs" dxfId="11" priority="2" stopIfTrue="1" operator="equal">
      <formula>"OK"</formula>
    </cfRule>
  </conditionalFormatting>
  <conditionalFormatting sqref="R17">
    <cfRule type="cellIs" dxfId="10" priority="11" stopIfTrue="1" operator="lessThan">
      <formula xml:space="preserve"> TD_warning_level</formula>
    </cfRule>
  </conditionalFormatting>
  <conditionalFormatting sqref="T16:T17">
    <cfRule type="cellIs" dxfId="9" priority="5" stopIfTrue="1" operator="equal">
      <formula>"OK"</formula>
    </cfRule>
    <cfRule type="containsText" dxfId="8" priority="6" stopIfTrue="1" operator="containsText" text="ERROR">
      <formula>NOT(ISERROR(SEARCH("ERROR",T16)))</formula>
    </cfRule>
  </conditionalFormatting>
  <conditionalFormatting sqref="X17:Y17">
    <cfRule type="cellIs" dxfId="7" priority="4" stopIfTrue="1" operator="between">
      <formula>min_sm_ok</formula>
      <formula>min_sm_good</formula>
    </cfRule>
    <cfRule type="cellIs" dxfId="6" priority="8" stopIfTrue="1" operator="lessThan">
      <formula>min_sm_ok</formula>
    </cfRule>
    <cfRule type="cellIs" dxfId="5" priority="9" stopIfTrue="1" operator="greaterThan">
      <formula>min_sm_good</formula>
    </cfRule>
  </conditionalFormatting>
  <conditionalFormatting sqref="Y16">
    <cfRule type="cellIs" dxfId="4" priority="12" stopIfTrue="1" operator="equal">
      <formula>"OK"</formula>
    </cfRule>
    <cfRule type="containsText" dxfId="3" priority="13" stopIfTrue="1" operator="containsText" text="ERROR">
      <formula>NOT(ISERROR(SEARCH("ERROR",Y16)))</formula>
    </cfRule>
  </conditionalFormatting>
  <conditionalFormatting sqref="Z17">
    <cfRule type="containsText" dxfId="2" priority="7" stopIfTrue="1" operator="containsText" text="ERROR">
      <formula>NOT(ISERROR(SEARCH("ERROR",Z17)))</formula>
    </cfRule>
    <cfRule type="cellIs" dxfId="1" priority="10" stopIfTrue="1" operator="equal">
      <formula>"OK"</formula>
    </cfRule>
  </conditionalFormatting>
  <conditionalFormatting sqref="AA17">
    <cfRule type="containsText" dxfId="0" priority="3" stopIfTrue="1" operator="containsText" text="ERROR">
      <formula>NOT(ISERROR(SEARCH("ERROR",AA17)))</formula>
    </cfRule>
  </conditionalFormatting>
  <dataValidations count="2">
    <dataValidation type="list" allowBlank="1" showInputMessage="1" showErrorMessage="1" sqref="D21" xr:uid="{C7684119-38F1-41FB-B9C6-9E49895B55D6}">
      <formula1>"1,2,3,4,5"</formula1>
    </dataValidation>
    <dataValidation type="list" allowBlank="1" showInputMessage="1" showErrorMessage="1" sqref="B60" xr:uid="{E97054AE-C346-48A4-9FC3-86001771C592}">
      <formula1>"FD2,FD5,SIC,SICXL"</formula1>
    </dataValidation>
  </dataValidation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2"/>
  <sheetViews>
    <sheetView zoomScaleNormal="100" workbookViewId="0">
      <selection activeCell="D8" sqref="D8"/>
    </sheetView>
  </sheetViews>
  <sheetFormatPr baseColWidth="10" defaultRowHeight="12.75"/>
  <cols>
    <col min="2" max="2" width="23" customWidth="1"/>
    <col min="4" max="5" width="13.42578125" customWidth="1"/>
    <col min="6" max="7" width="13.140625" customWidth="1"/>
  </cols>
  <sheetData>
    <row r="2" spans="2:7">
      <c r="D2" s="147" t="s">
        <v>30</v>
      </c>
      <c r="E2" s="147"/>
      <c r="F2" s="148" t="s">
        <v>30</v>
      </c>
      <c r="G2" s="148"/>
    </row>
    <row r="3" spans="2:7">
      <c r="D3" s="147" t="s">
        <v>36</v>
      </c>
      <c r="E3" s="147"/>
      <c r="F3" s="148" t="s">
        <v>37</v>
      </c>
      <c r="G3" s="148"/>
    </row>
    <row r="4" spans="2:7">
      <c r="B4" s="10" t="s">
        <v>101</v>
      </c>
      <c r="D4" s="35" t="s">
        <v>26</v>
      </c>
      <c r="E4" s="35" t="s">
        <v>27</v>
      </c>
      <c r="F4" s="35" t="s">
        <v>26</v>
      </c>
      <c r="G4" s="35" t="s">
        <v>27</v>
      </c>
    </row>
    <row r="5" spans="2:7">
      <c r="B5" s="94" t="s">
        <v>102</v>
      </c>
      <c r="C5" s="28"/>
      <c r="D5" s="36">
        <v>130</v>
      </c>
      <c r="E5" s="36">
        <v>70</v>
      </c>
      <c r="F5" s="36">
        <v>100</v>
      </c>
      <c r="G5" s="36">
        <v>50</v>
      </c>
    </row>
    <row r="6" spans="2:7">
      <c r="B6" s="94" t="s">
        <v>103</v>
      </c>
      <c r="C6" s="28"/>
      <c r="D6" s="36">
        <v>90</v>
      </c>
      <c r="E6" s="36">
        <v>25</v>
      </c>
      <c r="F6" s="36">
        <v>80</v>
      </c>
      <c r="G6" s="36">
        <v>20</v>
      </c>
    </row>
    <row r="7" spans="2:7">
      <c r="B7" s="94" t="s">
        <v>104</v>
      </c>
      <c r="C7" s="28"/>
      <c r="D7" s="36">
        <v>30</v>
      </c>
      <c r="E7" s="36">
        <v>25</v>
      </c>
      <c r="F7" s="36">
        <v>30</v>
      </c>
      <c r="G7" s="36">
        <v>20</v>
      </c>
    </row>
    <row r="8" spans="2:7">
      <c r="B8" s="94" t="s">
        <v>107</v>
      </c>
      <c r="D8" s="98">
        <v>10</v>
      </c>
      <c r="E8" s="98">
        <v>10</v>
      </c>
      <c r="F8" s="98">
        <v>10</v>
      </c>
      <c r="G8" s="36">
        <v>10</v>
      </c>
    </row>
    <row r="10" spans="2:7">
      <c r="B10" s="10" t="s">
        <v>42</v>
      </c>
    </row>
    <row r="11" spans="2:7">
      <c r="B11" t="s">
        <v>7</v>
      </c>
      <c r="D11" s="10"/>
      <c r="E11" s="10"/>
    </row>
    <row r="12" spans="2:7">
      <c r="B12" t="s">
        <v>43</v>
      </c>
      <c r="D12" s="28"/>
      <c r="E12" s="28"/>
    </row>
    <row r="13" spans="2:7">
      <c r="D13" s="28"/>
      <c r="E13" s="28"/>
    </row>
    <row r="14" spans="2:7">
      <c r="B14" s="10" t="s">
        <v>96</v>
      </c>
      <c r="C14">
        <v>500</v>
      </c>
      <c r="D14" t="s">
        <v>4</v>
      </c>
      <c r="E14" t="s">
        <v>97</v>
      </c>
    </row>
    <row r="15" spans="2:7">
      <c r="B15" s="28"/>
      <c r="C15" s="28"/>
      <c r="D15" s="36"/>
      <c r="E15" s="36"/>
    </row>
    <row r="16" spans="2:7">
      <c r="B16" s="10" t="s">
        <v>81</v>
      </c>
      <c r="C16" s="28"/>
      <c r="D16" s="36"/>
      <c r="E16" s="36"/>
    </row>
    <row r="17" spans="2:5">
      <c r="B17" s="28" t="s">
        <v>44</v>
      </c>
      <c r="C17" s="28">
        <v>0</v>
      </c>
      <c r="D17" t="s">
        <v>4</v>
      </c>
      <c r="E17" s="36" t="s">
        <v>46</v>
      </c>
    </row>
    <row r="18" spans="2:5">
      <c r="B18" s="28" t="s">
        <v>45</v>
      </c>
      <c r="C18" s="28">
        <v>5</v>
      </c>
      <c r="D18" t="s">
        <v>4</v>
      </c>
      <c r="E18" s="36" t="s">
        <v>47</v>
      </c>
    </row>
    <row r="19" spans="2:5">
      <c r="C19" s="28"/>
      <c r="D19" s="36"/>
      <c r="E19" s="36"/>
    </row>
    <row r="20" spans="2:5">
      <c r="C20" s="28"/>
      <c r="D20" s="36"/>
      <c r="E20" s="36"/>
    </row>
    <row r="21" spans="2:5">
      <c r="D21" s="36"/>
      <c r="E21" s="36"/>
    </row>
    <row r="22" spans="2:5">
      <c r="D22" s="36"/>
      <c r="E22" s="36"/>
    </row>
  </sheetData>
  <customSheetViews>
    <customSheetView guid="{694DA1A8-4125-CE46-8ADB-20AC8F55CAD4}" showRuler="0">
      <selection activeCell="B22" sqref="B22"/>
      <pageMargins left="0.7" right="0.7" top="0.78740157499999996" bottom="0.78740157499999996" header="0.3" footer="0.3"/>
      <pageSetup paperSize="9" orientation="portrait"/>
      <headerFooter alignWithMargins="0"/>
    </customSheetView>
  </customSheetViews>
  <mergeCells count="4">
    <mergeCell ref="D3:E3"/>
    <mergeCell ref="D2:E2"/>
    <mergeCell ref="F2:G2"/>
    <mergeCell ref="F3:G3"/>
  </mergeCells>
  <pageMargins left="0.7" right="0.7" top="0.78740157499999996" bottom="0.7874015749999999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58"/>
  <sheetViews>
    <sheetView workbookViewId="0">
      <selection activeCell="D11" sqref="D11"/>
    </sheetView>
  </sheetViews>
  <sheetFormatPr baseColWidth="10" defaultRowHeight="12.75"/>
  <cols>
    <col min="3" max="3" width="14" customWidth="1"/>
  </cols>
  <sheetData>
    <row r="3" spans="2:4">
      <c r="B3" s="10" t="s">
        <v>18</v>
      </c>
      <c r="C3" s="10" t="s">
        <v>19</v>
      </c>
      <c r="D3" s="10" t="s">
        <v>17</v>
      </c>
    </row>
    <row r="4" spans="2:4">
      <c r="B4" t="s">
        <v>83</v>
      </c>
      <c r="C4" s="75">
        <v>44337</v>
      </c>
      <c r="D4" t="s">
        <v>88</v>
      </c>
    </row>
    <row r="5" spans="2:4">
      <c r="B5" t="s">
        <v>121</v>
      </c>
      <c r="C5" s="75">
        <v>44853</v>
      </c>
      <c r="D5" t="s">
        <v>122</v>
      </c>
    </row>
    <row r="6" spans="2:4">
      <c r="B6" t="s">
        <v>123</v>
      </c>
      <c r="C6" s="75">
        <v>44888</v>
      </c>
      <c r="D6" s="28" t="s">
        <v>124</v>
      </c>
    </row>
    <row r="7" spans="2:4">
      <c r="B7" t="s">
        <v>125</v>
      </c>
      <c r="C7" s="75">
        <v>45140</v>
      </c>
      <c r="D7" s="28" t="s">
        <v>126</v>
      </c>
    </row>
    <row r="8" spans="2:4">
      <c r="B8" t="s">
        <v>127</v>
      </c>
      <c r="C8" s="75">
        <v>45411</v>
      </c>
      <c r="D8" s="28" t="s">
        <v>128</v>
      </c>
    </row>
    <row r="9" spans="2:4">
      <c r="B9" t="s">
        <v>131</v>
      </c>
      <c r="C9" s="75">
        <v>45744</v>
      </c>
      <c r="D9" s="28" t="s">
        <v>133</v>
      </c>
    </row>
    <row r="10" spans="2:4">
      <c r="B10" s="28"/>
      <c r="C10" s="75"/>
      <c r="D10" s="28" t="s">
        <v>139</v>
      </c>
    </row>
    <row r="11" spans="2:4">
      <c r="C11" s="75"/>
      <c r="D11" s="28" t="s">
        <v>144</v>
      </c>
    </row>
    <row r="12" spans="2:4">
      <c r="B12" s="28"/>
      <c r="C12" s="75"/>
    </row>
    <row r="13" spans="2:4">
      <c r="C13" s="75"/>
    </row>
    <row r="14" spans="2:4">
      <c r="B14" s="28"/>
      <c r="C14" s="75"/>
    </row>
    <row r="15" spans="2:4">
      <c r="C15" s="75"/>
    </row>
    <row r="16" spans="2:4">
      <c r="C16" s="75"/>
    </row>
    <row r="17" spans="2:4">
      <c r="C17" s="75"/>
      <c r="D17" s="85"/>
    </row>
    <row r="18" spans="2:4">
      <c r="C18" s="75"/>
    </row>
    <row r="19" spans="2:4">
      <c r="B19" s="28"/>
      <c r="C19" s="29"/>
      <c r="D19" s="28"/>
    </row>
    <row r="20" spans="2:4">
      <c r="B20" s="28"/>
      <c r="C20" s="29"/>
      <c r="D20" s="28"/>
    </row>
    <row r="21" spans="2:4">
      <c r="B21" s="28"/>
      <c r="C21" s="29"/>
      <c r="D21" s="28"/>
    </row>
    <row r="22" spans="2:4">
      <c r="B22" s="28"/>
      <c r="C22" s="29"/>
      <c r="D22" s="28"/>
    </row>
    <row r="23" spans="2:4">
      <c r="B23" s="28"/>
      <c r="C23" s="29"/>
      <c r="D23" s="28"/>
    </row>
    <row r="24" spans="2:4">
      <c r="B24" s="28"/>
      <c r="C24" s="29"/>
      <c r="D24" s="28"/>
    </row>
    <row r="25" spans="2:4">
      <c r="B25" s="28"/>
      <c r="C25" s="29"/>
      <c r="D25" s="28"/>
    </row>
    <row r="26" spans="2:4">
      <c r="B26" s="28"/>
      <c r="C26" s="29"/>
      <c r="D26" s="28"/>
    </row>
    <row r="27" spans="2:4">
      <c r="B27" s="28"/>
      <c r="C27" s="29"/>
      <c r="D27" s="28"/>
    </row>
    <row r="28" spans="2:4">
      <c r="B28" s="28"/>
      <c r="C28" s="29"/>
      <c r="D28" s="28"/>
    </row>
    <row r="29" spans="2:4">
      <c r="B29" s="28"/>
      <c r="C29" s="29"/>
      <c r="D29" s="28"/>
    </row>
    <row r="30" spans="2:4">
      <c r="B30" s="28"/>
      <c r="C30" s="29"/>
      <c r="D30" s="28"/>
    </row>
    <row r="31" spans="2:4">
      <c r="B31" s="28"/>
      <c r="C31" s="29"/>
      <c r="D31" s="28"/>
    </row>
    <row r="32" spans="2:4">
      <c r="B32" s="28"/>
      <c r="C32" s="29"/>
      <c r="D32" s="28"/>
    </row>
    <row r="33" spans="2:4">
      <c r="B33" s="28"/>
      <c r="C33" s="29"/>
      <c r="D33" s="28"/>
    </row>
    <row r="34" spans="2:4">
      <c r="B34" s="28"/>
      <c r="C34" s="29"/>
      <c r="D34" s="28"/>
    </row>
    <row r="35" spans="2:4">
      <c r="B35" s="28"/>
      <c r="C35" s="29"/>
      <c r="D35" s="28"/>
    </row>
    <row r="36" spans="2:4">
      <c r="B36" s="28"/>
      <c r="C36" s="29"/>
      <c r="D36" s="28"/>
    </row>
    <row r="37" spans="2:4">
      <c r="B37" s="28"/>
      <c r="C37" s="29"/>
      <c r="D37" s="28"/>
    </row>
    <row r="38" spans="2:4">
      <c r="B38" s="28"/>
      <c r="C38" s="29"/>
      <c r="D38" s="28"/>
    </row>
    <row r="39" spans="2:4">
      <c r="B39" s="28"/>
      <c r="C39" s="29"/>
      <c r="D39" s="28"/>
    </row>
    <row r="40" spans="2:4">
      <c r="B40" s="28"/>
      <c r="C40" s="29"/>
      <c r="D40" s="28"/>
    </row>
    <row r="41" spans="2:4">
      <c r="B41" s="28"/>
      <c r="C41" s="29"/>
      <c r="D41" s="28"/>
    </row>
    <row r="42" spans="2:4">
      <c r="B42" s="28"/>
      <c r="C42" s="29"/>
      <c r="D42" s="28"/>
    </row>
    <row r="43" spans="2:4">
      <c r="B43" s="28"/>
      <c r="C43" s="29"/>
      <c r="D43" s="28"/>
    </row>
    <row r="44" spans="2:4">
      <c r="B44" s="28"/>
      <c r="C44" s="29"/>
      <c r="D44" s="28"/>
    </row>
    <row r="45" spans="2:4">
      <c r="B45" s="28"/>
      <c r="C45" s="29"/>
      <c r="D45" s="28"/>
    </row>
    <row r="46" spans="2:4">
      <c r="B46" s="28"/>
      <c r="C46" s="29"/>
      <c r="D46" s="28"/>
    </row>
    <row r="47" spans="2:4">
      <c r="B47" s="28"/>
      <c r="C47" s="29"/>
      <c r="D47" s="28"/>
    </row>
    <row r="48" spans="2:4">
      <c r="B48" s="28"/>
      <c r="C48" s="29"/>
      <c r="D48" s="28"/>
    </row>
    <row r="49" spans="2:4">
      <c r="B49" s="28"/>
      <c r="C49" s="29"/>
      <c r="D49" s="28"/>
    </row>
    <row r="50" spans="2:4">
      <c r="B50" s="28"/>
      <c r="C50" s="29"/>
      <c r="D50" s="28"/>
    </row>
    <row r="51" spans="2:4">
      <c r="B51" s="28"/>
      <c r="C51" s="29"/>
      <c r="D51" s="28"/>
    </row>
    <row r="52" spans="2:4">
      <c r="B52" s="28"/>
      <c r="C52" s="29"/>
      <c r="D52" s="28"/>
    </row>
    <row r="53" spans="2:4">
      <c r="B53" s="28"/>
      <c r="C53" s="29"/>
      <c r="D53" s="28"/>
    </row>
    <row r="54" spans="2:4">
      <c r="B54" s="28"/>
      <c r="C54" s="29"/>
      <c r="D54" s="28"/>
    </row>
    <row r="55" spans="2:4">
      <c r="B55" s="28"/>
      <c r="C55" s="29"/>
      <c r="D55" s="28"/>
    </row>
    <row r="56" spans="2:4">
      <c r="B56" s="28"/>
      <c r="C56" s="29"/>
      <c r="D56" s="28"/>
    </row>
    <row r="57" spans="2:4">
      <c r="B57" s="28"/>
      <c r="C57" s="29"/>
      <c r="D57" s="28"/>
    </row>
    <row r="58" spans="2:4">
      <c r="B58" s="28"/>
      <c r="C58" s="29"/>
      <c r="D58" s="28"/>
    </row>
  </sheetData>
  <customSheetViews>
    <customSheetView guid="{694DA1A8-4125-CE46-8ADB-20AC8F55CAD4}" showRuler="0">
      <selection activeCell="F23" sqref="F23"/>
      <pageMargins left="0.7" right="0.7" top="0.78740157499999996" bottom="0.78740157499999996" header="0.3" footer="0.3"/>
      <pageSetup paperSize="9" orientation="portrait" horizontalDpi="4294967292" verticalDpi="4294967292"/>
      <headerFooter alignWithMargins="0"/>
    </customSheetView>
  </customSheetViews>
  <pageMargins left="0.7" right="0.7" top="0.78740157499999996" bottom="0.78740157499999996" header="0.3" footer="0.3"/>
  <pageSetup paperSize="9"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23"/>
  <sheetViews>
    <sheetView topLeftCell="A4" workbookViewId="0">
      <selection activeCell="B5" sqref="B5"/>
    </sheetView>
  </sheetViews>
  <sheetFormatPr baseColWidth="10" defaultRowHeight="12.75"/>
  <cols>
    <col min="5" max="5" width="20" bestFit="1" customWidth="1"/>
    <col min="6" max="6" width="16.5703125" bestFit="1" customWidth="1"/>
  </cols>
  <sheetData>
    <row r="3" spans="2:6">
      <c r="B3" s="105" t="s">
        <v>115</v>
      </c>
    </row>
    <row r="5" spans="2:6">
      <c r="B5" s="107" t="s">
        <v>129</v>
      </c>
    </row>
    <row r="6" spans="2:6">
      <c r="B6" s="10" t="s">
        <v>130</v>
      </c>
    </row>
    <row r="8" spans="2:6">
      <c r="B8" s="10" t="s">
        <v>22</v>
      </c>
      <c r="C8">
        <v>160</v>
      </c>
      <c r="D8" s="85" t="s">
        <v>2</v>
      </c>
    </row>
    <row r="10" spans="2:6" ht="25.5">
      <c r="B10" s="102" t="s">
        <v>117</v>
      </c>
      <c r="C10" s="102" t="s">
        <v>116</v>
      </c>
      <c r="D10" s="102" t="s">
        <v>118</v>
      </c>
      <c r="E10" s="102" t="s">
        <v>120</v>
      </c>
      <c r="F10" s="102" t="s">
        <v>119</v>
      </c>
    </row>
    <row r="11" spans="2:6">
      <c r="B11" s="103">
        <f>$C$8/$D11</f>
        <v>8</v>
      </c>
      <c r="C11" s="103">
        <f>1000/$B11</f>
        <v>125</v>
      </c>
      <c r="D11">
        <v>20</v>
      </c>
      <c r="E11">
        <f>ROUNDUP(($D11+1)/2,0)</f>
        <v>11</v>
      </c>
      <c r="F11" s="104">
        <f>$E11/$D11</f>
        <v>0.55000000000000004</v>
      </c>
    </row>
    <row r="12" spans="2:6">
      <c r="B12" s="103">
        <f t="shared" ref="B12:B23" si="0">$C$8/$D12</f>
        <v>8.4210526315789469</v>
      </c>
      <c r="C12" s="103">
        <f t="shared" ref="C12:C23" si="1">1000/$B12</f>
        <v>118.75</v>
      </c>
      <c r="D12">
        <f>$D11-1</f>
        <v>19</v>
      </c>
      <c r="E12">
        <f t="shared" ref="E12:E23" si="2">ROUNDUP(($D12+1)/2,0)</f>
        <v>10</v>
      </c>
      <c r="F12" s="104">
        <f t="shared" ref="F12:F23" si="3">$E12/$D12</f>
        <v>0.52631578947368418</v>
      </c>
    </row>
    <row r="13" spans="2:6">
      <c r="B13" s="103">
        <f t="shared" si="0"/>
        <v>8.8888888888888893</v>
      </c>
      <c r="C13" s="103">
        <f t="shared" si="1"/>
        <v>112.5</v>
      </c>
      <c r="D13">
        <f t="shared" ref="D13:D23" si="4">$D12-1</f>
        <v>18</v>
      </c>
      <c r="E13">
        <f t="shared" si="2"/>
        <v>10</v>
      </c>
      <c r="F13" s="104">
        <f t="shared" si="3"/>
        <v>0.55555555555555558</v>
      </c>
    </row>
    <row r="14" spans="2:6">
      <c r="B14" s="103">
        <f t="shared" si="0"/>
        <v>9.4117647058823533</v>
      </c>
      <c r="C14" s="103">
        <f t="shared" si="1"/>
        <v>106.25</v>
      </c>
      <c r="D14">
        <f t="shared" si="4"/>
        <v>17</v>
      </c>
      <c r="E14">
        <f t="shared" si="2"/>
        <v>9</v>
      </c>
      <c r="F14" s="104">
        <f t="shared" si="3"/>
        <v>0.52941176470588236</v>
      </c>
    </row>
    <row r="15" spans="2:6">
      <c r="B15" s="103">
        <f t="shared" si="0"/>
        <v>10</v>
      </c>
      <c r="C15" s="103">
        <f t="shared" si="1"/>
        <v>100</v>
      </c>
      <c r="D15">
        <f t="shared" si="4"/>
        <v>16</v>
      </c>
      <c r="E15">
        <f t="shared" si="2"/>
        <v>9</v>
      </c>
      <c r="F15" s="104">
        <f t="shared" si="3"/>
        <v>0.5625</v>
      </c>
    </row>
    <row r="16" spans="2:6">
      <c r="B16" s="103">
        <f t="shared" si="0"/>
        <v>10.666666666666666</v>
      </c>
      <c r="C16" s="103">
        <f t="shared" si="1"/>
        <v>93.75</v>
      </c>
      <c r="D16">
        <f t="shared" si="4"/>
        <v>15</v>
      </c>
      <c r="E16">
        <f t="shared" si="2"/>
        <v>8</v>
      </c>
      <c r="F16" s="104">
        <f t="shared" si="3"/>
        <v>0.53333333333333333</v>
      </c>
    </row>
    <row r="17" spans="2:6">
      <c r="B17" s="103">
        <f t="shared" si="0"/>
        <v>11.428571428571429</v>
      </c>
      <c r="C17" s="103">
        <f t="shared" si="1"/>
        <v>87.5</v>
      </c>
      <c r="D17">
        <f t="shared" si="4"/>
        <v>14</v>
      </c>
      <c r="E17">
        <f t="shared" si="2"/>
        <v>8</v>
      </c>
      <c r="F17" s="104">
        <f t="shared" si="3"/>
        <v>0.5714285714285714</v>
      </c>
    </row>
    <row r="18" spans="2:6">
      <c r="B18" s="103">
        <f t="shared" si="0"/>
        <v>12.307692307692308</v>
      </c>
      <c r="C18" s="103">
        <f t="shared" si="1"/>
        <v>81.25</v>
      </c>
      <c r="D18">
        <f t="shared" si="4"/>
        <v>13</v>
      </c>
      <c r="E18">
        <f t="shared" si="2"/>
        <v>7</v>
      </c>
      <c r="F18" s="104">
        <f t="shared" si="3"/>
        <v>0.53846153846153844</v>
      </c>
    </row>
    <row r="19" spans="2:6">
      <c r="B19" s="103">
        <f t="shared" si="0"/>
        <v>13.333333333333334</v>
      </c>
      <c r="C19" s="103">
        <f t="shared" si="1"/>
        <v>75</v>
      </c>
      <c r="D19">
        <f t="shared" si="4"/>
        <v>12</v>
      </c>
      <c r="E19">
        <f t="shared" si="2"/>
        <v>7</v>
      </c>
      <c r="F19" s="104">
        <f t="shared" si="3"/>
        <v>0.58333333333333337</v>
      </c>
    </row>
    <row r="20" spans="2:6">
      <c r="B20" s="103">
        <f t="shared" si="0"/>
        <v>14.545454545454545</v>
      </c>
      <c r="C20" s="103">
        <f t="shared" si="1"/>
        <v>68.75</v>
      </c>
      <c r="D20">
        <f t="shared" si="4"/>
        <v>11</v>
      </c>
      <c r="E20">
        <f t="shared" si="2"/>
        <v>6</v>
      </c>
      <c r="F20" s="104">
        <f t="shared" si="3"/>
        <v>0.54545454545454541</v>
      </c>
    </row>
    <row r="21" spans="2:6">
      <c r="B21" s="103">
        <f t="shared" si="0"/>
        <v>16</v>
      </c>
      <c r="C21" s="103">
        <f t="shared" si="1"/>
        <v>62.5</v>
      </c>
      <c r="D21">
        <f t="shared" si="4"/>
        <v>10</v>
      </c>
      <c r="E21">
        <f t="shared" si="2"/>
        <v>6</v>
      </c>
      <c r="F21" s="104">
        <f t="shared" si="3"/>
        <v>0.6</v>
      </c>
    </row>
    <row r="22" spans="2:6">
      <c r="B22" s="103">
        <f t="shared" si="0"/>
        <v>17.777777777777779</v>
      </c>
      <c r="C22" s="103">
        <f t="shared" si="1"/>
        <v>56.25</v>
      </c>
      <c r="D22">
        <f t="shared" si="4"/>
        <v>9</v>
      </c>
      <c r="E22">
        <f t="shared" si="2"/>
        <v>5</v>
      </c>
      <c r="F22" s="104">
        <f t="shared" si="3"/>
        <v>0.55555555555555558</v>
      </c>
    </row>
    <row r="23" spans="2:6">
      <c r="B23" s="103">
        <f t="shared" si="0"/>
        <v>20</v>
      </c>
      <c r="C23" s="103">
        <f t="shared" si="1"/>
        <v>50</v>
      </c>
      <c r="D23">
        <f t="shared" si="4"/>
        <v>8</v>
      </c>
      <c r="E23">
        <f t="shared" si="2"/>
        <v>5</v>
      </c>
      <c r="F23" s="104">
        <f t="shared" si="3"/>
        <v>0.625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85</vt:i4>
      </vt:variant>
    </vt:vector>
  </HeadingPairs>
  <TitlesOfParts>
    <vt:vector size="90" baseType="lpstr">
      <vt:lpstr>can_bit_timing_config</vt:lpstr>
      <vt:lpstr>Tabelle1</vt:lpstr>
      <vt:lpstr>definitions</vt:lpstr>
      <vt:lpstr>changes_history</vt:lpstr>
      <vt:lpstr>SP for SIC XL</vt:lpstr>
      <vt:lpstr>_pm1</vt:lpstr>
      <vt:lpstr>_pm2</vt:lpstr>
      <vt:lpstr>_sm1</vt:lpstr>
      <vt:lpstr>_sm2</vt:lpstr>
      <vt:lpstr>A1_FD2</vt:lpstr>
      <vt:lpstr>A1_FD2_loop</vt:lpstr>
      <vt:lpstr>A1_FD5</vt:lpstr>
      <vt:lpstr>A1_FD5_loop</vt:lpstr>
      <vt:lpstr>A1_SIC</vt:lpstr>
      <vt:lpstr>A1_SIC_loop</vt:lpstr>
      <vt:lpstr>A1_total</vt:lpstr>
      <vt:lpstr>A1_total_loop</vt:lpstr>
      <vt:lpstr>A1_XL</vt:lpstr>
      <vt:lpstr>A1_XL_loop</vt:lpstr>
      <vt:lpstr>A2_FD2</vt:lpstr>
      <vt:lpstr>A2_FD2_loop</vt:lpstr>
      <vt:lpstr>A2_FD5</vt:lpstr>
      <vt:lpstr>A2_FD5_loop</vt:lpstr>
      <vt:lpstr>A2_SIC</vt:lpstr>
      <vt:lpstr>A2_SIC_loop</vt:lpstr>
      <vt:lpstr>A2_total</vt:lpstr>
      <vt:lpstr>A2_total_loop</vt:lpstr>
      <vt:lpstr>A2_XL</vt:lpstr>
      <vt:lpstr>A2_XL_loop</vt:lpstr>
      <vt:lpstr>bitrate_a</vt:lpstr>
      <vt:lpstr>can_bit_timing_config!bitrate_d</vt:lpstr>
      <vt:lpstr>Tabelle1!bitrate_d</vt:lpstr>
      <vt:lpstr>BRP_a</vt:lpstr>
      <vt:lpstr>can_bit_timing_config!BRP_d</vt:lpstr>
      <vt:lpstr>Tabelle1!BRP_d</vt:lpstr>
      <vt:lpstr>bt_a</vt:lpstr>
      <vt:lpstr>can_bit_timing_config!bt_d</vt:lpstr>
      <vt:lpstr>Tabelle1!bt_d</vt:lpstr>
      <vt:lpstr>can_bit_timing_config!can_clk_freq</vt:lpstr>
      <vt:lpstr>Tabelle1!can_clk_freq</vt:lpstr>
      <vt:lpstr>can_bit_timing_config!can_clk_period</vt:lpstr>
      <vt:lpstr>Tabelle1!can_clk_period</vt:lpstr>
      <vt:lpstr>df_allowed</vt:lpstr>
      <vt:lpstr>df_rule1</vt:lpstr>
      <vt:lpstr>df_rule2</vt:lpstr>
      <vt:lpstr>df_rule3</vt:lpstr>
      <vt:lpstr>df_used</vt:lpstr>
      <vt:lpstr>jitter</vt:lpstr>
      <vt:lpstr>liste_transceiver_Mbps</vt:lpstr>
      <vt:lpstr>liste_transceiver_types</vt:lpstr>
      <vt:lpstr>max_ps1prop_a</vt:lpstr>
      <vt:lpstr>max_ps1prop_d</vt:lpstr>
      <vt:lpstr>max_ps2_a</vt:lpstr>
      <vt:lpstr>max_ps2_d</vt:lpstr>
      <vt:lpstr>max_sjw_a</vt:lpstr>
      <vt:lpstr>max_sjw_d</vt:lpstr>
      <vt:lpstr>max_ssp_offset_d</vt:lpstr>
      <vt:lpstr>min_bt_d</vt:lpstr>
      <vt:lpstr>min_ps1prop_a</vt:lpstr>
      <vt:lpstr>min_ps1prop_d</vt:lpstr>
      <vt:lpstr>min_ps2_a</vt:lpstr>
      <vt:lpstr>min_ps2_d</vt:lpstr>
      <vt:lpstr>min_sjw_a</vt:lpstr>
      <vt:lpstr>min_sjw_d</vt:lpstr>
      <vt:lpstr>min_sm_good</vt:lpstr>
      <vt:lpstr>min_sm_ok</vt:lpstr>
      <vt:lpstr>min_ssp_offset_d</vt:lpstr>
      <vt:lpstr>prop_seg_a</vt:lpstr>
      <vt:lpstr>can_bit_timing_config!prop_seg_d</vt:lpstr>
      <vt:lpstr>Tabelle1!prop_seg_d</vt:lpstr>
      <vt:lpstr>ps1_a</vt:lpstr>
      <vt:lpstr>can_bit_timing_config!ps1_d</vt:lpstr>
      <vt:lpstr>Tabelle1!ps1_d</vt:lpstr>
      <vt:lpstr>ps2_a</vt:lpstr>
      <vt:lpstr>ps2_d</vt:lpstr>
      <vt:lpstr>pwml</vt:lpstr>
      <vt:lpstr>pwmo</vt:lpstr>
      <vt:lpstr>pwms</vt:lpstr>
      <vt:lpstr>S_Stuff</vt:lpstr>
      <vt:lpstr>secondary_sp_d</vt:lpstr>
      <vt:lpstr>sjw_a</vt:lpstr>
      <vt:lpstr>can_bit_timing_config!sjw_d</vt:lpstr>
      <vt:lpstr>Tabelle1!sjw_d</vt:lpstr>
      <vt:lpstr>can_bit_timing_config!ssp_offset_d</vt:lpstr>
      <vt:lpstr>Tabelle1!ssp_offset_d</vt:lpstr>
      <vt:lpstr>TC_type</vt:lpstr>
      <vt:lpstr>TD_max</vt:lpstr>
      <vt:lpstr>TD_warning_level</vt:lpstr>
      <vt:lpstr>can_bit_timing_config!tdc_d</vt:lpstr>
      <vt:lpstr>Tabelle1!tdc_d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Mutter</dc:creator>
  <cp:lastModifiedBy>Arthur Mutter</cp:lastModifiedBy>
  <cp:lastPrinted>2017-12-22T11:09:40Z</cp:lastPrinted>
  <dcterms:created xsi:type="dcterms:W3CDTF">2011-12-09T12:59:56Z</dcterms:created>
  <dcterms:modified xsi:type="dcterms:W3CDTF">2025-06-29T15:24:54Z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g_d" linkTarget="prop_seg_d">
    <vt:r8>0</vt:r8>
  </property>
  <property fmtid="{D5CDD505-2E9C-101B-9397-08002B2CF9AE}" pid="3" name="seg_a" linkTarget="prop_seg_a">
    <vt:r8>191</vt:r8>
  </property>
</Properties>
</file>